
<file path=[Content_Types].xml><?xml version="1.0" encoding="utf-8"?>
<Types xmlns="http://schemas.openxmlformats.org/package/2006/content-types">
  <Default Extension="vml" ContentType="application/vnd.openxmlformats-officedocument.vmlDrawing"/>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mc:AlternateContent xmlns:mc="http://schemas.openxmlformats.org/markup-compatibility/2006">
    <mc:Choice Requires="x15">
      <x15ac:absPath xmlns:x15ac="http://schemas.microsoft.com/office/spreadsheetml/2010/11/ac" url="C:\Users\mt\Desktop\我的文件\10_报关\SO-2026-1013-0115\"/>
    </mc:Choice>
  </mc:AlternateContent>
  <bookViews>
    <workbookView windowWidth="25600" windowHeight="12080" activeTab="5"/>
  </bookViews>
  <sheets>
    <sheet name="报关单" sheetId="1" r:id="rId1"/>
    <sheet name="申报要素" sheetId="2" r:id="rId2"/>
    <sheet name="发票" sheetId="3" r:id="rId3"/>
    <sheet name="箱单" sheetId="4" r:id="rId4"/>
    <sheet name="合同" sheetId="5" r:id="rId5"/>
    <sheet name="不报关填写快递  B19发票" sheetId="6" r:id="rId6"/>
    <sheet name="产品主数据" sheetId="7" r:id="rId10" state="veryHidden"/>
  </sheets>
  <definedNames>
    <definedName name="_xlnm.Print_Area" localSheetId="0">报关单!$A$1:$S$22</definedName>
    <definedName name="_xlnm.Print_Area" localSheetId="1">申报要素!$A$7:$I$17</definedName>
    <definedName name="_xlnm.Print_Area" localSheetId="3">箱单!$A$1:$I$21</definedName>
    <definedName name="_xlnm.Print_Area" localSheetId="4">合同!$A$1:$I$43</definedName>
  </definedNames>
  <calcPr calcId="191029" fullPrecision="0" fullCalcOn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qiuhu</author>
    <author>zengguiwen</author>
    <author>admin</author>
  </authors>
  <commentList>
    <comment ref="A2" authorId="0">
      <text>
        <r>
          <rPr>
            <sz val="10"/>
            <rFont val="宋体"/>
            <charset val="134"/>
          </rPr>
          <t>qiuhu:
客户单号</t>
        </r>
      </text>
    </comment>
    <comment ref="E9" authorId="1">
      <text>
        <r>
          <rPr>
            <sz val="10"/>
            <rFont val="宋体"/>
            <charset val="134"/>
          </rPr>
          <t>印尼 欧洲 英国 南美等大部分国家需要填写收货人税号或ID， 哥伦比亚 墨西哥还需要提供收货人邮箱</t>
        </r>
      </text>
    </comment>
    <comment ref="E10" authorId="2">
      <text>
        <r>
          <rPr>
            <sz val="10"/>
            <rFont val="宋体"/>
            <charset val="134"/>
          </rPr>
          <t>备注：请录入纯数字，勿带标点符号</t>
        </r>
      </text>
    </comment>
    <comment ref="A11" authorId="2">
      <text>
        <r>
          <rPr>
            <sz val="10"/>
            <rFont val="宋体"/>
            <charset val="134"/>
          </rPr>
          <t>备注：请按目的地二字码填写</t>
        </r>
      </text>
    </comment>
    <comment ref="A17" authorId="2">
      <text>
        <r>
          <rPr>
            <sz val="10"/>
            <rFont val="宋体"/>
            <charset val="134"/>
          </rPr>
          <t>admin:
多件亚马逊箱号可以使用英文逗号分隔  如FBA18VG5FMTZU000001,FBA18VG5FMTZU000002</t>
        </r>
      </text>
    </comment>
  </commentList>
</comments>
</file>

<file path=xl/sharedStrings.xml><?xml version="1.0" encoding="utf-8"?>
<sst xmlns="http://schemas.openxmlformats.org/spreadsheetml/2006/main" count="294" uniqueCount="259">
  <si>
    <t>中华人民共和国海关出口货物报关单</t>
  </si>
  <si>
    <t>预录入编号：</t>
  </si>
  <si>
    <t>申报口岸:</t>
  </si>
  <si>
    <t>海关编号:</t>
  </si>
  <si>
    <t>4403940C53</t>
  </si>
  <si>
    <t>境内发货人</t>
  </si>
  <si>
    <t>出境关别</t>
  </si>
  <si>
    <t>（5345）</t>
  </si>
  <si>
    <t>出口日期</t>
  </si>
  <si>
    <t>申报日期</t>
  </si>
  <si>
    <t>备案号</t>
  </si>
  <si>
    <t>签约地点：</t>
  </si>
  <si>
    <t>深圳</t>
  </si>
  <si>
    <t>深圳留形科技有限公司</t>
  </si>
  <si>
    <t xml:space="preserve">深圳湾关 </t>
  </si>
  <si>
    <r>
      <rPr>
        <sz val="12"/>
        <rFont val="Arial"/>
        <charset val="134"/>
      </rPr>
      <t xml:space="preserve">	</t>
    </r>
    <r>
      <rPr>
        <sz val="12"/>
        <rFont val="宋体"/>
        <charset val="134"/>
      </rPr>
      <t>2026/10/29</t>
    </r>
  </si>
  <si>
    <t>成交方式:</t>
  </si>
  <si>
    <t>SHENZHEN</t>
  </si>
  <si>
    <t>付款条件：</t>
  </si>
  <si>
    <t>电汇</t>
  </si>
  <si>
    <t>境外收货人</t>
  </si>
  <si>
    <t>AEO：</t>
  </si>
  <si>
    <t>运输方式</t>
  </si>
  <si>
    <t>(    )</t>
  </si>
  <si>
    <t>运输工具名称及航次号</t>
  </si>
  <si>
    <t>提运单号</t>
  </si>
  <si>
    <t>卖方公司：</t>
  </si>
  <si>
    <t>Manifold Tech Limited</t>
  </si>
  <si>
    <t>公路运输</t>
  </si>
  <si>
    <t>卖方地址：</t>
  </si>
  <si>
    <t>深圳市宝安区西乡街道金碧工业区23栋219</t>
  </si>
  <si>
    <t>生产销售单位</t>
  </si>
  <si>
    <t>监管方式</t>
  </si>
  <si>
    <t>征免性质</t>
  </si>
  <si>
    <t>许可证号</t>
  </si>
  <si>
    <t>卖方电话：</t>
  </si>
  <si>
    <t>0755-36802125</t>
  </si>
  <si>
    <t>卖方传真：</t>
  </si>
  <si>
    <t>0755-36802126</t>
  </si>
  <si>
    <t>一般贸易</t>
  </si>
  <si>
    <t>一般征税</t>
  </si>
  <si>
    <t>买方公司：</t>
  </si>
  <si>
    <t>合同协议号</t>
  </si>
  <si>
    <t>贸易国(地区)</t>
  </si>
  <si>
    <t>运抵国(地区)</t>
  </si>
  <si>
    <t>指运港</t>
  </si>
  <si>
    <t>离境口岸</t>
  </si>
  <si>
    <t>( 471401 )跨境的才需要申报</t>
  </si>
  <si>
    <t>买方地址：</t>
  </si>
  <si>
    <t>UNIT 04,7/F BRIGHT WAY TOWER NO 33 MONG KOK RD KL,HK</t>
  </si>
  <si>
    <t>SO-2026-1029-1002</t>
  </si>
  <si>
    <t>美国</t>
  </si>
  <si>
    <t>深圳湾</t>
  </si>
  <si>
    <t>买方电话：</t>
  </si>
  <si>
    <t>(0852)27636557</t>
  </si>
  <si>
    <t>买方传真：</t>
  </si>
  <si>
    <t>(0852)35902333</t>
  </si>
  <si>
    <t>包装种类</t>
  </si>
  <si>
    <t>件数</t>
  </si>
  <si>
    <t>毛重（千克）</t>
  </si>
  <si>
    <t>净重（千克）</t>
  </si>
  <si>
    <t>成交方式</t>
  </si>
  <si>
    <t>(  )</t>
  </si>
  <si>
    <t>运费</t>
  </si>
  <si>
    <t>保费</t>
  </si>
  <si>
    <t>杂费</t>
  </si>
  <si>
    <t>报关简称：</t>
  </si>
  <si>
    <t>报关全称：</t>
  </si>
  <si>
    <t>纸箱</t>
  </si>
  <si>
    <t>FOB</t>
  </si>
  <si>
    <t>境外收发货人：</t>
  </si>
  <si>
    <t>境外收货人通常指签订并执行出口贸易合同中的买方或合同指定的收货人，名称一般填报英文名称，检验检疫要求填报其他外文名称的，在英文名称后填报，以半角括号分隔。</t>
  </si>
  <si>
    <t>随附单证及编号</t>
  </si>
  <si>
    <t>境外收发货人代码：</t>
  </si>
  <si>
    <t>非互认国家（地区）AEO企业等其他情形，编码免于填报。对于AEO互认国家（地区）企业的，编码填报AEO编码，填报样式按照海关总署发布的相关公告要求填报（如新加坡AEO企业填报样式为：SG123456789012，韩国AEO企业填报样式为KR1234567，具体见相关公告要求）。</t>
  </si>
  <si>
    <t>境外收货人完整显示：</t>
  </si>
  <si>
    <t>检验检疫附加编号：</t>
  </si>
  <si>
    <t>通过以下网站输入10位HS编号，再根据申报要素细分确定3位检疫附加编号</t>
  </si>
  <si>
    <t>标记唛码及备注：</t>
  </si>
  <si>
    <t>检疫局网址-编码查询：</t>
  </si>
  <si>
    <t>https://e-service.shciq.gov.cn/shesp/</t>
  </si>
  <si>
    <t>备注：</t>
  </si>
  <si>
    <t>查申报要素网址：</t>
  </si>
  <si>
    <t>http://www.hscode.net/IntegrateQueries/QueryYS/</t>
  </si>
  <si>
    <t>报关联系电话：</t>
  </si>
  <si>
    <t>合计：</t>
  </si>
  <si>
    <t>贸易国：是指合同买方所在的国家（地区），需填写准确，以后可能会影响收汇。</t>
  </si>
  <si>
    <t>特殊关系确认:</t>
  </si>
  <si>
    <t>价格影响确认：</t>
  </si>
  <si>
    <t>支付特许权使用费:</t>
  </si>
  <si>
    <t>自报自缴:</t>
  </si>
  <si>
    <t>出口不填</t>
  </si>
  <si>
    <t>原产国/目的国/货源地未注明的项默认与提供的项相同</t>
  </si>
  <si>
    <t>项号</t>
  </si>
  <si>
    <t>商品编号</t>
  </si>
  <si>
    <t>商品名称及规格型号</t>
  </si>
  <si>
    <t>数量及单位</t>
  </si>
  <si>
    <t>单价/总价/币制</t>
  </si>
  <si>
    <t>原产国（地区）</t>
  </si>
  <si>
    <t>最终目的国（地区）</t>
  </si>
  <si>
    <t>境内货源地</t>
  </si>
  <si>
    <t>征免</t>
  </si>
  <si>
    <t>净重</t>
  </si>
  <si>
    <t>毛重</t>
  </si>
  <si>
    <t>空间记忆模组</t>
  </si>
  <si>
    <t>中国深圳</t>
  </si>
  <si>
    <t>照章征税</t>
  </si>
  <si>
    <t>表格制作单位：深圳市长来运报关有限公司QQ1152276688</t>
  </si>
  <si>
    <t>(产品或者包装上有明显的logo，带R，TM标识的商标必须申报为品牌，有显示型号（model，type no.）的必须申报为型号)(申报的牌子型号要在产品或包装上有一模一样显示，海关查货的话会去比对拍照，对不上会升级整车查验和压车改单）</t>
  </si>
  <si>
    <t>(申报的牌子型号要在产品或包装上有一模一样显示，海关查货的话会去比对拍照，对不上会升级整车查验和压车改单）</t>
  </si>
  <si>
    <t>检验检疫附加编号：通过以下网站输入10位HS编号，再根据申报要素细分确定3位检疫附加编号</t>
  </si>
  <si>
    <t>申报要素查询网址：</t>
  </si>
  <si>
    <t>申报要素</t>
  </si>
  <si>
    <t>序号</t>
  </si>
  <si>
    <t>品名</t>
  </si>
  <si>
    <t>海关HS编码</t>
  </si>
  <si>
    <t>检疫附加码</t>
  </si>
  <si>
    <t>品牌</t>
  </si>
  <si>
    <t>型号</t>
  </si>
  <si>
    <t>品牌类型</t>
  </si>
  <si>
    <t>出口享惠情况</t>
  </si>
  <si>
    <t>其他申报要素</t>
  </si>
  <si>
    <t>留形</t>
  </si>
  <si>
    <t>Odin1</t>
  </si>
  <si>
    <t>境内自主品牌</t>
  </si>
  <si>
    <t>不能确定在最终目的国（地区）享受优惠关税</t>
  </si>
  <si>
    <t>用于扫描</t>
  </si>
  <si>
    <t xml:space="preserve"> Shen Zhen Liuxing Technology Co., Ltd</t>
  </si>
  <si>
    <t>503，5/F, Building A, North District, Qianhai Shenzhen-Hong Kong Youth Innovation and Enterpreneur Hub, Shenzhen, Guangdong Province, China</t>
  </si>
  <si>
    <t>COMMERCIAL  INVOICE</t>
  </si>
  <si>
    <t>Customer  Manifold Tech Limited</t>
  </si>
  <si>
    <t>Invoice No.  ：</t>
  </si>
  <si>
    <t>INV-202610-0145</t>
  </si>
  <si>
    <t>Address   ：Unit 861 of 8th Floor Bldg 8，Hong Kong-Shenzhen Innovation Technology Park Lok Ma Chau，NT, Hong Kong</t>
  </si>
  <si>
    <t>Invoice Date ：</t>
  </si>
  <si>
    <t>Attention ：Aaron QIN</t>
  </si>
  <si>
    <t>Currency     ：</t>
  </si>
  <si>
    <t>USD</t>
  </si>
  <si>
    <t>Tel No.   ： 18823420475</t>
  </si>
  <si>
    <t>Reference    ：</t>
  </si>
  <si>
    <t>No.</t>
  </si>
  <si>
    <t>Description</t>
  </si>
  <si>
    <t>HS Code</t>
  </si>
  <si>
    <t>Quantity</t>
  </si>
  <si>
    <t>Unit Price</t>
  </si>
  <si>
    <t>Amount</t>
  </si>
  <si>
    <t>Total</t>
  </si>
  <si>
    <t>Remark:</t>
  </si>
  <si>
    <t>Name of Beneficiary:  Shen Zhen Liuxing Technology Co., Ltd
Bank: China Merchants Bank Co., Ltd.</t>
  </si>
  <si>
    <t>Beneficiary Account No:755976996810001
Swift Code:CMBCCNBS050</t>
  </si>
  <si>
    <t>Terms of payment:</t>
  </si>
  <si>
    <t>-The remitting parties should bear remitance charge</t>
  </si>
  <si>
    <t>-An interest charge of 2% per month may be imposed for overdue balances.</t>
  </si>
  <si>
    <t xml:space="preserve">For and on Behalf of  Shen Zhen Liuxing Technology Co., Ltd
 </t>
  </si>
  <si>
    <t xml:space="preserve">  装  箱  单
  PACKING LIST</t>
  </si>
  <si>
    <t>日期
Date：</t>
  </si>
  <si>
    <t>发票编号
Invoice No:</t>
  </si>
  <si>
    <t>客户
To Messrs:</t>
  </si>
  <si>
    <t>合同号
Contract No:</t>
  </si>
  <si>
    <t/>
  </si>
  <si>
    <t>船名
Shipped by：</t>
  </si>
  <si>
    <t>由</t>
  </si>
  <si>
    <t>香港</t>
  </si>
  <si>
    <t>至</t>
  </si>
  <si>
    <t>付款条件
Terms of Payment:</t>
  </si>
  <si>
    <t>箱号
Ctn.No.</t>
  </si>
  <si>
    <t>货物名称及规格
Description</t>
  </si>
  <si>
    <t>箱数：
Pkg：</t>
  </si>
  <si>
    <t>数量：
Ge.Quantity</t>
  </si>
  <si>
    <t>毛重(KG)：
G.W.(KG):</t>
  </si>
  <si>
    <t>净重(KG)：
N.W.(KG):</t>
  </si>
  <si>
    <t>合计
Total</t>
  </si>
  <si>
    <t>唛头
Marks</t>
  </si>
  <si>
    <t>合       同
SALES CONTRACT</t>
  </si>
  <si>
    <t>卖    方：</t>
  </si>
  <si>
    <t>Sellers:</t>
  </si>
  <si>
    <t>地    址：</t>
  </si>
  <si>
    <t>广东省深圳市南山区南山街道桂湾社区梦海大道5188号前海深港青年梦工场北区A栋5楼503</t>
  </si>
  <si>
    <t>Address:</t>
  </si>
  <si>
    <t>合同号码</t>
  </si>
  <si>
    <t>电    话：</t>
  </si>
  <si>
    <t>传  真</t>
  </si>
  <si>
    <t>Contract No:</t>
  </si>
  <si>
    <t>TEL:</t>
  </si>
  <si>
    <t>FAX:</t>
  </si>
  <si>
    <t>日     期</t>
  </si>
  <si>
    <t>买  方：</t>
  </si>
  <si>
    <t>Date:</t>
  </si>
  <si>
    <t>Buyers：</t>
  </si>
  <si>
    <t>签约地点</t>
  </si>
  <si>
    <t>地   址：</t>
  </si>
  <si>
    <t>香港新界落马洲港深创新及科技园8号楼8楼206单元3室</t>
  </si>
  <si>
    <t>Signed at:</t>
  </si>
  <si>
    <t>成交方式：
Trade Term:</t>
  </si>
  <si>
    <t>电   话</t>
  </si>
  <si>
    <t>经买卖双方确认根据下列条款订立本合同</t>
  </si>
  <si>
    <t>This contract is made out by the Sellers and Buyers as per the following terms and conditions mutuilly confirmed:</t>
  </si>
  <si>
    <t>(1)货物名称</t>
  </si>
  <si>
    <t>(2) 数 量</t>
  </si>
  <si>
    <t>(3)单 位</t>
  </si>
  <si>
    <t>(4)单价</t>
  </si>
  <si>
    <t>(5)   金  额</t>
  </si>
  <si>
    <t>Name of commodity</t>
  </si>
  <si>
    <t>Unit</t>
  </si>
  <si>
    <t>套</t>
  </si>
  <si>
    <t>总      值</t>
  </si>
  <si>
    <t>Total Amount:</t>
  </si>
  <si>
    <t xml:space="preserve">    买  方</t>
  </si>
  <si>
    <t xml:space="preserve">    卖  方</t>
  </si>
  <si>
    <t>THE BUYERS</t>
  </si>
  <si>
    <t xml:space="preserve">  THE SELLERS</t>
  </si>
  <si>
    <t>(Authorized Signature)</t>
  </si>
  <si>
    <t>COMMERCIAL INVOICE</t>
  </si>
  <si>
    <t>固定模板填写需注意事项: 
1.品名申报行数如多出需删掉空余行数（例如：只有2项品名，需删掉剩余空白的6项行数）</t>
  </si>
  <si>
    <t>Order No.单号</t>
  </si>
  <si>
    <t>Date of Exportation</t>
  </si>
  <si>
    <t>Coutry of Origin</t>
  </si>
  <si>
    <t>CN</t>
  </si>
  <si>
    <t>pieceCount总件数</t>
  </si>
  <si>
    <t>Shipper Information（寄件人）</t>
  </si>
  <si>
    <t>Company 公司:</t>
  </si>
  <si>
    <t>Contact 联系人:</t>
  </si>
  <si>
    <t>TEL电话：</t>
  </si>
  <si>
    <t>国家要一定填二字代码</t>
  </si>
  <si>
    <t>Address 详细地址:</t>
  </si>
  <si>
    <t>Consignee Information(收货人)</t>
  </si>
  <si>
    <t>VAT/TAX ID税号：</t>
  </si>
  <si>
    <t>Contact 联系人：</t>
  </si>
  <si>
    <t>Tobias Fischer</t>
  </si>
  <si>
    <t>TEL 电话：</t>
  </si>
  <si>
    <t>Country 目的国:</t>
  </si>
  <si>
    <t>AU</t>
  </si>
  <si>
    <t>State 州省：</t>
  </si>
  <si>
    <t>QLD</t>
  </si>
  <si>
    <t>City 城市：</t>
  </si>
  <si>
    <t>Kelvin Grove</t>
  </si>
  <si>
    <t>Zip Code 邮编:</t>
  </si>
  <si>
    <t>收件人邮箱:</t>
  </si>
  <si>
    <t>tobias.fischer@qut.edu.au</t>
  </si>
  <si>
    <t>Address详细地址1:</t>
  </si>
  <si>
    <t>QUT Kelvin Grove Campus F Block, Level 1 Boundary Road Kelvin
Grove QLD, 4059 Australia</t>
  </si>
  <si>
    <t>Address详细地址2:</t>
  </si>
  <si>
    <t>Address详细地址:3</t>
  </si>
  <si>
    <t>FBA单号</t>
  </si>
  <si>
    <t>DESCRIPTION OF GOODS品名</t>
  </si>
  <si>
    <t>DESCRIPTION OF GOODS中文品名</t>
  </si>
  <si>
    <t>Material英文材质</t>
  </si>
  <si>
    <t>Use英文用途</t>
  </si>
  <si>
    <t>HS Code  海关编码</t>
  </si>
  <si>
    <t>Qty (pcs)   数量</t>
  </si>
  <si>
    <t>Unit Price(usd) 单价</t>
  </si>
  <si>
    <t>Total（USD）总价</t>
  </si>
  <si>
    <t>Spatial Memory Module</t>
  </si>
  <si>
    <t>ABS</t>
  </si>
  <si>
    <t>Scanning measure</t>
  </si>
  <si>
    <t>Freight运费:</t>
  </si>
  <si>
    <t>declaretotal申报总额</t>
  </si>
  <si>
    <t>Total:</t>
  </si>
  <si>
    <t>SHIPPER’S SIGNATURE &amp; STAMP:</t>
  </si>
</sst>
</file>

<file path=xl/styles.xml><?xml version="1.0" encoding="utf-8"?>
<styleSheet xmlns="http://schemas.openxmlformats.org/spreadsheetml/2006/main" xmlns:mc="http://schemas.openxmlformats.org/markup-compatibility/2006" xmlns:xr9="http://schemas.microsoft.com/office/spreadsheetml/2016/revision9" mc:Ignorable="xr9">
  <numFmts count="11">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yyyy\-m\-d"/>
    <numFmt numFmtId="177" formatCode="0_ "/>
    <numFmt numFmtId="178" formatCode="\$#,##0.00;\-\$#,##0.00"/>
    <numFmt numFmtId="179" formatCode="[=0]&quot;&quot;;General"/>
    <numFmt numFmtId="180" formatCode="0.0000_);[Red]\(0.0000\)"/>
    <numFmt numFmtId="181" formatCode="&quot;US$&quot;#,##0.00;\-&quot;US$&quot;#,##0.00"/>
    <numFmt numFmtId="182" formatCode="0.00_ "/>
  </numFmts>
  <fonts count="80">
    <font>
      <sz val="12"/>
      <name val="宋体"/>
      <charset val="134"/>
    </font>
    <font>
      <sz val="10"/>
      <name val="Times New Roman"/>
      <charset val="134"/>
    </font>
    <font>
      <b/>
      <sz val="18"/>
      <color indexed="8"/>
      <name val="微软雅黑"/>
      <charset val="134"/>
    </font>
    <font>
      <b/>
      <sz val="14"/>
      <color rgb="FFFF0000"/>
      <name val="宋体"/>
      <charset val="134"/>
    </font>
    <font>
      <sz val="12"/>
      <color rgb="FFFF0000"/>
      <name val="微软雅黑"/>
      <charset val="134"/>
    </font>
    <font>
      <sz val="12"/>
      <color indexed="8"/>
      <name val="微软雅黑"/>
      <charset val="134"/>
    </font>
    <font>
      <sz val="12"/>
      <name val="微软雅黑"/>
      <charset val="134"/>
    </font>
    <font>
      <b/>
      <sz val="10"/>
      <color indexed="8"/>
      <name val="微软雅黑"/>
      <charset val="134"/>
    </font>
    <font>
      <b/>
      <sz val="12"/>
      <color indexed="8"/>
      <name val="微软雅黑"/>
      <charset val="134"/>
    </font>
    <font>
      <b/>
      <sz val="11"/>
      <name val="微软雅黑"/>
      <charset val="134"/>
    </font>
    <font>
      <sz val="12"/>
      <name val="Times New Roman"/>
      <charset val="134"/>
    </font>
    <font>
      <b/>
      <sz val="18"/>
      <color rgb="FFFF0000"/>
      <name val="宋体"/>
      <charset val="134"/>
    </font>
    <font>
      <b/>
      <sz val="11"/>
      <color rgb="FFFF0000"/>
      <name val="微软雅黑"/>
      <charset val="134"/>
    </font>
    <font>
      <sz val="11"/>
      <name val="Times New Roman"/>
      <charset val="134"/>
    </font>
    <font>
      <sz val="10"/>
      <name val="微软雅黑"/>
      <charset val="134"/>
    </font>
    <font>
      <b/>
      <sz val="11"/>
      <color indexed="10"/>
      <name val="微软雅黑"/>
      <charset val="134"/>
    </font>
    <font>
      <sz val="11"/>
      <name val="微软雅黑"/>
      <charset val="134"/>
    </font>
    <font>
      <b/>
      <sz val="11"/>
      <color rgb="FF0000FF"/>
      <name val="微软雅黑"/>
      <charset val="134"/>
    </font>
    <font>
      <b/>
      <sz val="12"/>
      <name val="微软雅黑"/>
      <charset val="134"/>
    </font>
    <font>
      <b/>
      <sz val="10"/>
      <color indexed="10"/>
      <name val="微软雅黑"/>
      <charset val="134"/>
    </font>
    <font>
      <b/>
      <sz val="10"/>
      <color rgb="FFFF0000"/>
      <name val="微软雅黑"/>
      <charset val="134"/>
    </font>
    <font>
      <sz val="12"/>
      <name val="Microsoft YaHei"/>
      <charset val="134"/>
    </font>
    <font>
      <sz val="12"/>
      <color rgb="FF000000"/>
      <name val="Microsoft YaHei"/>
      <charset val="134"/>
    </font>
    <font>
      <sz val="11"/>
      <color rgb="FFFF0000"/>
      <name val="微软雅黑"/>
      <charset val="134"/>
    </font>
    <font>
      <sz val="14"/>
      <color indexed="10"/>
      <name val="Arial"/>
      <charset val="134"/>
    </font>
    <font>
      <b/>
      <sz val="24"/>
      <name val="宋体"/>
      <charset val="134"/>
    </font>
    <font>
      <sz val="11"/>
      <name val="宋体"/>
      <charset val="134"/>
    </font>
    <font>
      <sz val="10"/>
      <name val="宋体"/>
      <charset val="134"/>
    </font>
    <font>
      <sz val="10"/>
      <name val="宋体"/>
      <charset val="134"/>
      <scheme val="minor"/>
    </font>
    <font>
      <sz val="12"/>
      <name val="宋体"/>
      <charset val="134"/>
      <scheme val="minor"/>
    </font>
    <font>
      <b/>
      <sz val="12"/>
      <name val="Times New Roman"/>
      <charset val="134"/>
    </font>
    <font>
      <b/>
      <sz val="10"/>
      <name val="Times New Roman"/>
      <charset val="134"/>
    </font>
    <font>
      <u/>
      <sz val="12"/>
      <name val="Times New Roman"/>
      <charset val="134"/>
    </font>
    <font>
      <b/>
      <sz val="22"/>
      <name val="宋体"/>
      <charset val="134"/>
    </font>
    <font>
      <sz val="22"/>
      <name val="宋体"/>
      <charset val="134"/>
    </font>
    <font>
      <sz val="12"/>
      <name val="Arial"/>
      <charset val="134"/>
    </font>
    <font>
      <sz val="20"/>
      <name val="Times New Roman"/>
      <charset val="134"/>
    </font>
    <font>
      <sz val="16"/>
      <name val="Times New Roman"/>
      <charset val="134"/>
    </font>
    <font>
      <sz val="12"/>
      <color indexed="10"/>
      <name val="宋体"/>
      <charset val="134"/>
    </font>
    <font>
      <b/>
      <sz val="12"/>
      <name val="宋体"/>
      <charset val="134"/>
    </font>
    <font>
      <sz val="11"/>
      <color rgb="FF000000"/>
      <name val="Arial"/>
      <charset val="134"/>
    </font>
    <font>
      <sz val="20"/>
      <color rgb="FF212121"/>
      <name val="Arial"/>
      <charset val="134"/>
    </font>
    <font>
      <sz val="10"/>
      <name val="Microsoft YaHei"/>
      <charset val="134"/>
    </font>
    <font>
      <sz val="18"/>
      <name val="Arial Regular"/>
      <charset val="134"/>
    </font>
    <font>
      <sz val="9"/>
      <color rgb="FF212121"/>
      <name val="Microsoft YaHei"/>
      <charset val="134"/>
    </font>
    <font>
      <sz val="9"/>
      <color rgb="FF000000"/>
      <name val="Microsoft YaHei"/>
      <charset val="134"/>
    </font>
    <font>
      <sz val="9"/>
      <name val="Microsoft YaHei"/>
      <charset val="134"/>
    </font>
    <font>
      <b/>
      <sz val="12"/>
      <color rgb="FFFF0000"/>
      <name val="宋体"/>
      <charset val="134"/>
    </font>
    <font>
      <u/>
      <sz val="11"/>
      <color rgb="FF0000FF"/>
      <name val="宋体"/>
      <charset val="134"/>
      <scheme val="minor"/>
    </font>
    <font>
      <u/>
      <sz val="11"/>
      <color rgb="FF800080"/>
      <name val="宋体"/>
      <charset val="134"/>
      <scheme val="minor"/>
    </font>
    <font>
      <sz val="20"/>
      <name val="宋体"/>
      <charset val="134"/>
    </font>
    <font>
      <b/>
      <sz val="20"/>
      <name val="宋体"/>
      <charset val="134"/>
    </font>
    <font>
      <sz val="10"/>
      <color rgb="FFFF0000"/>
      <name val="宋体"/>
      <charset val="134"/>
    </font>
    <font>
      <sz val="10"/>
      <color theme="1"/>
      <name val="宋体"/>
      <charset val="134"/>
      <scheme val="minor"/>
    </font>
    <font>
      <sz val="10"/>
      <color rgb="FFFF0000"/>
      <name val="宋体"/>
      <charset val="134"/>
      <scheme val="minor"/>
    </font>
    <font>
      <b/>
      <sz val="11"/>
      <name val="宋体"/>
      <charset val="134"/>
    </font>
    <font>
      <b/>
      <sz val="10"/>
      <name val="宋体"/>
      <charset val="134"/>
    </font>
    <font>
      <sz val="11"/>
      <color theme="8" tint="-0.499984740745262"/>
      <name val="宋体"/>
      <charset val="134"/>
    </font>
    <font>
      <sz val="10"/>
      <color rgb="FFD9D9D9"/>
      <name val="宋体"/>
      <charset val="134"/>
    </font>
    <font>
      <sz val="12"/>
      <color theme="0" tint="-0.249977111117893"/>
      <name val="宋体"/>
      <charset val="134"/>
    </font>
    <font>
      <sz val="11"/>
      <color theme="1"/>
      <name val="宋体"/>
      <charset val="134"/>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0"/>
      <name val="宋体"/>
      <charset val="134"/>
    </font>
  </fonts>
  <fills count="38">
    <fill>
      <patternFill patternType="none"/>
    </fill>
    <fill>
      <patternFill patternType="gray125"/>
    </fill>
    <fill>
      <patternFill patternType="solid">
        <fgColor rgb="FFFFFF00"/>
        <bgColor indexed="64"/>
      </patternFill>
    </fill>
    <fill>
      <patternFill patternType="solid">
        <fgColor indexed="9"/>
        <bgColor indexed="64"/>
      </patternFill>
    </fill>
    <fill>
      <patternFill patternType="solid">
        <fgColor indexed="22"/>
        <bgColor indexed="64"/>
      </patternFill>
    </fill>
    <fill>
      <patternFill patternType="solid">
        <fgColor theme="0"/>
        <bgColor indexed="64"/>
      </patternFill>
    </fill>
    <fill>
      <patternFill patternType="solid">
        <fgColor theme="0" tint="-0.14996795556505"/>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55">
    <border>
      <left/>
      <right/>
      <top/>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right/>
      <top style="thin">
        <color auto="1"/>
      </top>
      <bottom style="thin">
        <color auto="1"/>
      </bottom>
      <diagonal/>
    </border>
    <border>
      <left style="thin">
        <color indexed="8"/>
      </left>
      <right style="thin">
        <color auto="1"/>
      </right>
      <top style="thin">
        <color auto="1"/>
      </top>
      <bottom style="thin">
        <color auto="1"/>
      </bottom>
      <diagonal/>
    </border>
    <border>
      <left style="thin">
        <color rgb="FF000000"/>
      </left>
      <right style="thin">
        <color rgb="FF000000"/>
      </right>
      <top style="thin">
        <color rgb="FF000000"/>
      </top>
      <bottom style="thin">
        <color rgb="FF000000"/>
      </bottom>
      <diagonal/>
    </border>
    <border>
      <left style="thin">
        <color auto="1"/>
      </left>
      <right style="thin">
        <color auto="1"/>
      </right>
      <top style="thin">
        <color auto="1"/>
      </top>
      <bottom/>
      <diagonal/>
    </border>
    <border>
      <left/>
      <right/>
      <top style="thin">
        <color auto="1"/>
      </top>
      <bottom/>
      <diagonal/>
    </border>
    <border>
      <left/>
      <right style="thin">
        <color auto="1"/>
      </right>
      <top style="thin">
        <color auto="1"/>
      </top>
      <bottom/>
      <diagonal/>
    </border>
    <border>
      <left/>
      <right/>
      <top/>
      <bottom style="thin">
        <color auto="1"/>
      </bottom>
      <diagonal/>
    </border>
    <border>
      <left/>
      <right/>
      <top/>
      <bottom style="double">
        <color auto="1"/>
      </bottom>
      <diagonal/>
    </border>
    <border>
      <left style="thin">
        <color auto="1"/>
      </left>
      <right style="thin">
        <color auto="1"/>
      </right>
      <top style="double">
        <color auto="1"/>
      </top>
      <bottom/>
      <diagonal/>
    </border>
    <border>
      <left/>
      <right style="thin">
        <color auto="1"/>
      </right>
      <top style="double">
        <color auto="1"/>
      </top>
      <bottom/>
      <diagonal/>
    </border>
    <border>
      <left/>
      <right/>
      <top style="double">
        <color auto="1"/>
      </top>
      <bottom/>
      <diagonal/>
    </border>
    <border>
      <left style="thin">
        <color auto="1"/>
      </left>
      <right style="thin">
        <color auto="1"/>
      </right>
      <top/>
      <bottom style="thin">
        <color auto="1"/>
      </bottom>
      <diagonal/>
    </border>
    <border>
      <left/>
      <right style="thin">
        <color auto="1"/>
      </right>
      <top/>
      <bottom style="thin">
        <color auto="1"/>
      </bottom>
      <diagonal/>
    </border>
    <border>
      <left style="thin">
        <color auto="1"/>
      </left>
      <right/>
      <top style="thin">
        <color auto="1"/>
      </top>
      <bottom/>
      <diagonal/>
    </border>
    <border>
      <left style="thin">
        <color auto="1"/>
      </left>
      <right/>
      <top/>
      <bottom/>
      <diagonal/>
    </border>
    <border>
      <left style="thin">
        <color auto="1"/>
      </left>
      <right style="thin">
        <color auto="1"/>
      </right>
      <top/>
      <bottom/>
      <diagonal/>
    </border>
    <border>
      <left/>
      <right style="thin">
        <color auto="1"/>
      </right>
      <top/>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medium">
        <color auto="1"/>
      </left>
      <right/>
      <top style="medium">
        <color auto="1"/>
      </top>
      <bottom/>
      <diagonal/>
    </border>
    <border>
      <left/>
      <right/>
      <top style="medium">
        <color auto="1"/>
      </top>
      <bottom/>
      <diagonal/>
    </border>
    <border>
      <left/>
      <right style="thin">
        <color auto="1"/>
      </right>
      <top style="medium">
        <color auto="1"/>
      </top>
      <bottom/>
      <diagonal/>
    </border>
    <border>
      <left style="thin">
        <color auto="1"/>
      </left>
      <right/>
      <top style="medium">
        <color auto="1"/>
      </top>
      <bottom/>
      <diagonal/>
    </border>
    <border>
      <left/>
      <right style="medium">
        <color auto="1"/>
      </right>
      <top style="medium">
        <color auto="1"/>
      </top>
      <bottom/>
      <diagonal/>
    </border>
    <border>
      <left style="medium">
        <color auto="1"/>
      </left>
      <right style="thin">
        <color auto="1"/>
      </right>
      <top/>
      <bottom style="thin">
        <color auto="1"/>
      </bottom>
      <diagonal/>
    </border>
    <border>
      <left style="thin">
        <color auto="1"/>
      </left>
      <right/>
      <top/>
      <bottom style="thin">
        <color auto="1"/>
      </bottom>
      <diagonal/>
    </border>
    <border>
      <left style="thin">
        <color auto="1"/>
      </left>
      <right style="medium">
        <color auto="1"/>
      </right>
      <top/>
      <bottom style="thin">
        <color auto="1"/>
      </bottom>
      <diagonal/>
    </border>
    <border>
      <left/>
      <right style="medium">
        <color auto="1"/>
      </right>
      <top/>
      <bottom style="thin">
        <color auto="1"/>
      </bottom>
      <diagonal/>
    </border>
    <border>
      <left style="medium">
        <color auto="1"/>
      </left>
      <right/>
      <top/>
      <bottom/>
      <diagonal/>
    </border>
    <border>
      <left/>
      <right style="medium">
        <color auto="1"/>
      </right>
      <top/>
      <bottom/>
      <diagonal/>
    </border>
    <border>
      <left style="medium">
        <color auto="1"/>
      </left>
      <right/>
      <top style="thin">
        <color auto="1"/>
      </top>
      <bottom/>
      <diagonal/>
    </border>
    <border>
      <left/>
      <right style="medium">
        <color auto="1"/>
      </right>
      <top style="thin">
        <color auto="1"/>
      </top>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style="medium">
        <color auto="1"/>
      </left>
      <right style="medium">
        <color auto="1"/>
      </right>
      <top style="medium">
        <color auto="1"/>
      </top>
      <bottom style="medium">
        <color auto="1"/>
      </bottom>
      <diagonal/>
    </border>
    <border>
      <left style="medium">
        <color auto="1"/>
      </left>
      <right/>
      <top style="medium">
        <color auto="1"/>
      </top>
      <bottom style="medium">
        <color auto="1"/>
      </bottom>
      <diagonal/>
    </border>
    <border>
      <left/>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top style="medium">
        <color auto="1"/>
      </top>
      <bottom style="medium">
        <color auto="1"/>
      </bottom>
      <diagonal/>
    </border>
    <border>
      <left/>
      <right style="thin">
        <color auto="1"/>
      </right>
      <top style="medium">
        <color auto="1"/>
      </top>
      <bottom style="medium">
        <color auto="1"/>
      </bottom>
      <diagonal/>
    </border>
    <border>
      <left/>
      <right style="medium">
        <color auto="1"/>
      </right>
      <top style="medium">
        <color auto="1"/>
      </top>
      <bottom style="medium">
        <color auto="1"/>
      </bottom>
      <diagonal/>
    </border>
    <border>
      <left style="medium">
        <color auto="1"/>
      </left>
      <right style="medium">
        <color auto="1"/>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0">
    <xf numFmtId="0" fontId="0" fillId="0" borderId="0">
      <alignment vertical="center"/>
    </xf>
    <xf numFmtId="43" fontId="60" fillId="0" borderId="0">
      <alignment vertical="center"/>
    </xf>
    <xf numFmtId="44" fontId="60" fillId="0" borderId="0">
      <alignment vertical="center"/>
    </xf>
    <xf numFmtId="9" fontId="60" fillId="0" borderId="0">
      <alignment vertical="center"/>
    </xf>
    <xf numFmtId="41" fontId="60" fillId="0" borderId="0">
      <alignment vertical="center"/>
    </xf>
    <xf numFmtId="42" fontId="60" fillId="0" borderId="0">
      <alignment vertical="center"/>
    </xf>
    <xf numFmtId="0" fontId="48" fillId="0" borderId="0">
      <alignment vertical="center"/>
    </xf>
    <xf numFmtId="0" fontId="61" fillId="0" borderId="0">
      <alignment vertical="center"/>
    </xf>
    <xf numFmtId="0" fontId="60" fillId="7" borderId="47">
      <alignment vertical="center"/>
    </xf>
    <xf numFmtId="0" fontId="62" fillId="0" borderId="0">
      <alignment vertical="center"/>
    </xf>
    <xf numFmtId="0" fontId="63" fillId="0" borderId="0">
      <alignment vertical="center"/>
    </xf>
    <xf numFmtId="0" fontId="64" fillId="0" borderId="0">
      <alignment vertical="center"/>
    </xf>
    <xf numFmtId="0" fontId="65" fillId="0" borderId="48">
      <alignment vertical="center"/>
    </xf>
    <xf numFmtId="0" fontId="66" fillId="0" borderId="48">
      <alignment vertical="center"/>
    </xf>
    <xf numFmtId="0" fontId="67" fillId="0" borderId="49">
      <alignment vertical="center"/>
    </xf>
    <xf numFmtId="0" fontId="67" fillId="0" borderId="0">
      <alignment vertical="center"/>
    </xf>
    <xf numFmtId="0" fontId="68" fillId="8" borderId="50">
      <alignment vertical="center"/>
    </xf>
    <xf numFmtId="0" fontId="69" fillId="9" borderId="51">
      <alignment vertical="center"/>
    </xf>
    <xf numFmtId="0" fontId="70" fillId="9" borderId="50">
      <alignment vertical="center"/>
    </xf>
    <xf numFmtId="0" fontId="71" fillId="10" borderId="52">
      <alignment vertical="center"/>
    </xf>
    <xf numFmtId="0" fontId="72" fillId="0" borderId="53">
      <alignment vertical="center"/>
    </xf>
    <xf numFmtId="0" fontId="73" fillId="0" borderId="54">
      <alignment vertical="center"/>
    </xf>
    <xf numFmtId="0" fontId="74" fillId="11" borderId="0">
      <alignment vertical="center"/>
    </xf>
    <xf numFmtId="0" fontId="75" fillId="12" borderId="0">
      <alignment vertical="center"/>
    </xf>
    <xf numFmtId="0" fontId="76" fillId="13" borderId="0">
      <alignment vertical="center"/>
    </xf>
    <xf numFmtId="0" fontId="77" fillId="14" borderId="0">
      <alignment vertical="center"/>
    </xf>
    <xf numFmtId="0" fontId="78" fillId="15" borderId="0">
      <alignment vertical="center"/>
    </xf>
    <xf numFmtId="0" fontId="78" fillId="16" borderId="0">
      <alignment vertical="center"/>
    </xf>
    <xf numFmtId="0" fontId="77" fillId="17" borderId="0">
      <alignment vertical="center"/>
    </xf>
    <xf numFmtId="0" fontId="77" fillId="18" borderId="0">
      <alignment vertical="center"/>
    </xf>
    <xf numFmtId="0" fontId="78" fillId="19" borderId="0">
      <alignment vertical="center"/>
    </xf>
    <xf numFmtId="0" fontId="78" fillId="20" borderId="0">
      <alignment vertical="center"/>
    </xf>
    <xf numFmtId="0" fontId="77" fillId="21" borderId="0">
      <alignment vertical="center"/>
    </xf>
    <xf numFmtId="0" fontId="77" fillId="22" borderId="0">
      <alignment vertical="center"/>
    </xf>
    <xf numFmtId="0" fontId="78" fillId="23" borderId="0">
      <alignment vertical="center"/>
    </xf>
    <xf numFmtId="0" fontId="78" fillId="24" borderId="0">
      <alignment vertical="center"/>
    </xf>
    <xf numFmtId="0" fontId="77" fillId="25" borderId="0">
      <alignment vertical="center"/>
    </xf>
    <xf numFmtId="0" fontId="77" fillId="26" borderId="0">
      <alignment vertical="center"/>
    </xf>
    <xf numFmtId="0" fontId="78" fillId="27" borderId="0">
      <alignment vertical="center"/>
    </xf>
    <xf numFmtId="0" fontId="78" fillId="28" borderId="0">
      <alignment vertical="center"/>
    </xf>
    <xf numFmtId="0" fontId="77" fillId="29" borderId="0">
      <alignment vertical="center"/>
    </xf>
    <xf numFmtId="0" fontId="77" fillId="30" borderId="0">
      <alignment vertical="center"/>
    </xf>
    <xf numFmtId="0" fontId="78" fillId="31" borderId="0">
      <alignment vertical="center"/>
    </xf>
    <xf numFmtId="0" fontId="78" fillId="32" borderId="0">
      <alignment vertical="center"/>
    </xf>
    <xf numFmtId="0" fontId="77" fillId="33" borderId="0">
      <alignment vertical="center"/>
    </xf>
    <xf numFmtId="0" fontId="77" fillId="34" borderId="0">
      <alignment vertical="center"/>
    </xf>
    <xf numFmtId="0" fontId="78" fillId="35" borderId="0">
      <alignment vertical="center"/>
    </xf>
    <xf numFmtId="0" fontId="78" fillId="36" borderId="0">
      <alignment vertical="center"/>
    </xf>
    <xf numFmtId="0" fontId="77" fillId="37" borderId="0">
      <alignment vertical="center"/>
    </xf>
    <xf numFmtId="0" fontId="0" fillId="0" borderId="0"/>
  </cellStyleXfs>
  <cellXfs count="306">
    <xf numFmtId="0" fontId="0" fillId="0" borderId="0" xfId="0" applyAlignment="1">
      <alignment vertical="center"/>
    </xf>
    <xf numFmtId="0" fontId="1" fillId="0" borderId="0" xfId="0" applyFont="1" applyAlignment="1">
      <alignment vertical="center"/>
    </xf>
    <xf numFmtId="0" fontId="2" fillId="0" borderId="0" xfId="0" applyFont="1" applyAlignment="1" applyProtection="1">
      <alignment horizontal="center" vertical="center" wrapText="1"/>
      <protection locked="0"/>
    </xf>
    <xf numFmtId="0" fontId="0" fillId="0" borderId="0" xfId="0" applyAlignment="1" applyProtection="1">
      <protection locked="0"/>
    </xf>
    <xf numFmtId="0" fontId="3" fillId="0" borderId="0" xfId="0" applyFont="1" applyAlignment="1">
      <alignment horizontal="left" vertical="center" wrapText="1"/>
    </xf>
    <xf numFmtId="0" fontId="3" fillId="2" borderId="0" xfId="0" applyFont="1" applyFill="1" applyAlignment="1">
      <alignment horizontal="left" vertical="center" wrapText="1"/>
    </xf>
    <xf numFmtId="0" fontId="4" fillId="2" borderId="1" xfId="0" applyFont="1" applyFill="1" applyBorder="1" applyAlignment="1" applyProtection="1">
      <alignment horizontal="left" vertical="center" wrapText="1"/>
      <protection locked="0"/>
    </xf>
    <xf numFmtId="0" fontId="5" fillId="0" borderId="2" xfId="0" applyFont="1" applyBorder="1" applyAlignment="1" applyProtection="1">
      <alignment horizontal="left" vertical="center" wrapText="1"/>
      <protection locked="0"/>
    </xf>
    <xf numFmtId="0" fontId="0" fillId="0" borderId="3" xfId="0" applyBorder="1" applyAlignment="1" applyProtection="1">
      <protection locked="0"/>
    </xf>
    <xf numFmtId="0" fontId="0" fillId="0" borderId="2" xfId="0" applyBorder="1" applyAlignment="1" applyProtection="1">
      <protection locked="0"/>
    </xf>
    <xf numFmtId="0" fontId="5" fillId="0" borderId="1" xfId="0" applyFont="1" applyBorder="1" applyAlignment="1" applyProtection="1">
      <alignment horizontal="left" vertical="center"/>
      <protection locked="0"/>
    </xf>
    <xf numFmtId="176" fontId="6" fillId="0" borderId="1" xfId="0" applyNumberFormat="1" applyBorder="1" applyAlignment="1" applyProtection="1">
      <alignment horizontal="left" vertical="center" wrapText="1"/>
      <protection locked="0"/>
    </xf>
    <xf numFmtId="0" fontId="7" fillId="0" borderId="1" xfId="0" applyFont="1" applyBorder="1" applyAlignment="1" applyProtection="1">
      <alignment horizontal="left" vertical="center" wrapText="1"/>
      <protection locked="0"/>
    </xf>
    <xf numFmtId="0" fontId="7" fillId="0" borderId="3" xfId="0" applyFont="1" applyBorder="1" applyAlignment="1" applyProtection="1">
      <alignment horizontal="left" vertical="center" wrapText="1"/>
      <protection locked="0"/>
    </xf>
    <xf numFmtId="0" fontId="4" fillId="2" borderId="1" xfId="0" applyFont="1" applyFill="1" applyBorder="1" applyAlignment="1" applyProtection="1">
      <alignment horizontal="left" vertical="center"/>
      <protection locked="0"/>
    </xf>
    <xf numFmtId="0" fontId="7" fillId="0" borderId="2" xfId="0" applyFont="1" applyBorder="1" applyAlignment="1" applyProtection="1">
      <alignment horizontal="left" vertical="center" wrapText="1"/>
      <protection locked="0"/>
    </xf>
    <xf numFmtId="0" fontId="8" fillId="0" borderId="1" xfId="0" applyFont="1" applyBorder="1" applyAlignment="1" applyProtection="1">
      <alignment horizontal="left" vertical="center" wrapText="1"/>
      <protection locked="0"/>
    </xf>
    <xf numFmtId="0" fontId="9" fillId="0" borderId="1" xfId="0" applyFont="1" applyBorder="1" applyAlignment="1" applyProtection="1">
      <alignment horizontal="left" vertical="center" wrapText="1"/>
      <protection locked="0"/>
    </xf>
    <xf numFmtId="0" fontId="9" fillId="0" borderId="2" xfId="0" applyFont="1" applyBorder="1" applyAlignment="1" applyProtection="1">
      <alignment horizontal="left" vertical="center" wrapText="1"/>
      <protection locked="0"/>
    </xf>
    <xf numFmtId="0" fontId="10" fillId="3" borderId="1" xfId="0" applyFill="1" applyBorder="1" applyAlignment="1" applyProtection="1">
      <alignment horizontal="center" vertical="center" wrapText="1"/>
      <protection locked="0"/>
    </xf>
    <xf numFmtId="0" fontId="11" fillId="2" borderId="0" xfId="0" applyFont="1" applyFill="1" applyAlignment="1">
      <alignment vertical="center"/>
    </xf>
    <xf numFmtId="0" fontId="1" fillId="0" borderId="0" xfId="0" applyFont="1" applyAlignment="1">
      <alignment horizontal="left" vertical="center"/>
    </xf>
    <xf numFmtId="0" fontId="12" fillId="2" borderId="1" xfId="0" applyFont="1" applyFill="1" applyBorder="1" applyAlignment="1" applyProtection="1">
      <alignment horizontal="left" vertical="center" wrapText="1"/>
      <protection locked="0"/>
    </xf>
    <xf numFmtId="0" fontId="13" fillId="0" borderId="1" xfId="0" applyFont="1" applyBorder="1" applyAlignment="1" applyProtection="1">
      <alignment horizontal="left" vertical="center" wrapText="1"/>
      <protection locked="0"/>
    </xf>
    <xf numFmtId="0" fontId="14" fillId="0" borderId="1" xfId="0" applyFont="1" applyBorder="1" applyAlignment="1">
      <alignment horizontal="left" vertical="center"/>
    </xf>
    <xf numFmtId="0" fontId="0" fillId="0" borderId="2" xfId="0" applyBorder="1" applyAlignment="1"/>
    <xf numFmtId="0" fontId="12" fillId="0" borderId="2" xfId="0" applyFont="1" applyBorder="1" applyAlignment="1" applyProtection="1">
      <alignment horizontal="left" vertical="center" wrapText="1"/>
      <protection locked="0"/>
    </xf>
    <xf numFmtId="0" fontId="15" fillId="2" borderId="1" xfId="0" applyFont="1" applyFill="1" applyBorder="1" applyAlignment="1" applyProtection="1">
      <alignment horizontal="left" vertical="center" wrapText="1"/>
      <protection locked="0"/>
    </xf>
    <xf numFmtId="0" fontId="16" fillId="0" borderId="1" xfId="0" applyFont="1" applyBorder="1" applyAlignment="1" applyProtection="1">
      <alignment horizontal="left" vertical="center" wrapText="1"/>
      <protection locked="0"/>
    </xf>
    <xf numFmtId="0" fontId="12" fillId="2" borderId="4" xfId="0" applyFont="1" applyFill="1" applyBorder="1" applyAlignment="1" applyProtection="1">
      <alignment horizontal="left" vertical="center" wrapText="1"/>
      <protection locked="0"/>
    </xf>
    <xf numFmtId="0" fontId="17" fillId="0" borderId="0" xfId="6" applyFont="1">
      <alignment vertical="center"/>
    </xf>
    <xf numFmtId="0" fontId="18" fillId="0" borderId="3" xfId="0" applyFont="1" applyBorder="1" applyAlignment="1" applyProtection="1">
      <protection locked="0"/>
    </xf>
    <xf numFmtId="0" fontId="18" fillId="0" borderId="2" xfId="0" applyFont="1" applyBorder="1" applyAlignment="1" applyProtection="1">
      <protection locked="0"/>
    </xf>
    <xf numFmtId="0" fontId="19" fillId="4" borderId="3" xfId="0" applyFont="1" applyFill="1" applyBorder="1" applyAlignment="1" applyProtection="1">
      <alignment horizontal="left" vertical="center" wrapText="1"/>
      <protection locked="0"/>
    </xf>
    <xf numFmtId="0" fontId="20" fillId="4" borderId="3" xfId="0" applyFont="1" applyFill="1" applyBorder="1" applyAlignment="1" applyProtection="1">
      <alignment horizontal="left" vertical="center" wrapText="1"/>
      <protection locked="0"/>
    </xf>
    <xf numFmtId="0" fontId="20" fillId="4" borderId="2" xfId="0" applyFont="1" applyFill="1" applyBorder="1" applyAlignment="1" applyProtection="1">
      <alignment horizontal="left" vertical="center" wrapText="1"/>
      <protection locked="0"/>
    </xf>
    <xf numFmtId="0" fontId="19" fillId="2" borderId="1" xfId="0" applyFont="1" applyFill="1" applyBorder="1" applyAlignment="1" applyProtection="1">
      <alignment horizontal="left" vertical="center" wrapText="1"/>
      <protection locked="0"/>
    </xf>
    <xf numFmtId="0" fontId="20" fillId="2" borderId="1" xfId="0" applyFont="1" applyFill="1" applyBorder="1" applyAlignment="1" applyProtection="1">
      <alignment horizontal="left" vertical="center" wrapText="1"/>
      <protection locked="0"/>
    </xf>
    <xf numFmtId="0" fontId="16" fillId="0" borderId="1" xfId="0" applyFont="1" applyBorder="1" applyAlignment="1">
      <alignment horizontal="left" vertical="center"/>
    </xf>
    <xf numFmtId="0" fontId="21" fillId="0" borderId="5" xfId="0" applyFont="1" applyBorder="1" applyAlignment="1">
      <alignment horizontal="center" vertical="center" wrapText="1"/>
    </xf>
    <xf numFmtId="0" fontId="6" fillId="0" borderId="1" xfId="0" applyFont="1" applyBorder="1" applyAlignment="1">
      <alignment horizontal="center" vertical="center" wrapText="1"/>
    </xf>
    <xf numFmtId="177" fontId="22" fillId="0" borderId="5" xfId="0" applyNumberFormat="1" applyFont="1" applyBorder="1" applyAlignment="1">
      <alignment horizontal="center" vertical="center" wrapText="1"/>
    </xf>
    <xf numFmtId="178" fontId="10" fillId="0" borderId="1" xfId="0" applyNumberFormat="1" applyFont="1" applyBorder="1" applyAlignment="1">
      <alignment horizontal="center" vertical="center" wrapText="1"/>
    </xf>
    <xf numFmtId="0" fontId="0" fillId="0" borderId="3" xfId="0" applyBorder="1" applyAlignment="1"/>
    <xf numFmtId="43" fontId="16" fillId="0" borderId="1" xfId="0" applyNumberFormat="1" applyFont="1" applyBorder="1" applyAlignment="1">
      <alignment horizontal="left" vertical="center" wrapText="1"/>
    </xf>
    <xf numFmtId="0" fontId="23" fillId="2" borderId="1" xfId="0" applyFont="1" applyFill="1" applyBorder="1" applyAlignment="1">
      <alignment horizontal="left" vertical="center"/>
    </xf>
    <xf numFmtId="0" fontId="16" fillId="0" borderId="6" xfId="0" applyFont="1" applyBorder="1" applyAlignment="1">
      <alignment horizontal="left" vertical="center"/>
    </xf>
    <xf numFmtId="0" fontId="0" fillId="0" borderId="7" xfId="0" applyBorder="1" applyAlignment="1"/>
    <xf numFmtId="0" fontId="0" fillId="0" borderId="8" xfId="0" applyBorder="1" applyAlignment="1"/>
    <xf numFmtId="179" fontId="16" fillId="0" borderId="6" xfId="0" applyNumberFormat="1" applyFont="1" applyBorder="1" applyAlignment="1">
      <alignment horizontal="left" vertical="center"/>
    </xf>
    <xf numFmtId="0" fontId="24" fillId="0" borderId="0" xfId="0" applyFont="1" applyAlignment="1"/>
    <xf numFmtId="0" fontId="10" fillId="0" borderId="0" xfId="0" applyAlignment="1">
      <alignment vertical="center"/>
    </xf>
    <xf numFmtId="0" fontId="0" fillId="0" borderId="0" xfId="0" applyAlignment="1"/>
    <xf numFmtId="0" fontId="25" fillId="0" borderId="0" xfId="0" applyFont="1" applyAlignment="1">
      <alignment horizontal="center" vertical="center" wrapText="1"/>
    </xf>
    <xf numFmtId="0" fontId="13" fillId="0" borderId="0" xfId="0" applyFont="1" applyAlignment="1">
      <alignment horizontal="center" vertical="center"/>
    </xf>
    <xf numFmtId="0" fontId="26" fillId="0" borderId="9" xfId="0" applyFont="1" applyBorder="1" applyAlignment="1">
      <alignment horizontal="left" vertical="center" wrapText="1"/>
    </xf>
    <xf numFmtId="0" fontId="13" fillId="0" borderId="0" xfId="0" applyFont="1" applyAlignment="1">
      <alignment horizontal="right" vertical="center"/>
    </xf>
    <xf numFmtId="0" fontId="10" fillId="0" borderId="0" xfId="0" applyAlignment="1">
      <alignment horizontal="center" vertical="center"/>
    </xf>
    <xf numFmtId="0" fontId="0" fillId="0" borderId="9" xfId="0" applyBorder="1" applyAlignment="1"/>
    <xf numFmtId="0" fontId="13" fillId="0" borderId="0" xfId="0" applyFont="1" applyAlignment="1">
      <alignment horizontal="right" vertical="center" wrapText="1"/>
    </xf>
    <xf numFmtId="0" fontId="10" fillId="0" borderId="0" xfId="0" applyAlignment="1">
      <alignment horizontal="center" vertical="center" wrapText="1"/>
    </xf>
    <xf numFmtId="0" fontId="13" fillId="0" borderId="0" xfId="0" applyFont="1" applyAlignment="1">
      <alignment horizontal="center" vertical="center" wrapText="1"/>
    </xf>
    <xf numFmtId="0" fontId="26" fillId="0" borderId="3" xfId="0" applyFont="1" applyBorder="1" applyAlignment="1">
      <alignment horizontal="left" vertical="center" wrapText="1"/>
    </xf>
    <xf numFmtId="0" fontId="1" fillId="0" borderId="0" xfId="0" applyFont="1" applyAlignment="1">
      <alignment horizontal="right" vertical="center"/>
    </xf>
    <xf numFmtId="0" fontId="1" fillId="0" borderId="0" xfId="0" applyFont="1" applyAlignment="1">
      <alignment horizontal="center" vertical="center"/>
    </xf>
    <xf numFmtId="0" fontId="13" fillId="0" borderId="3" xfId="0" applyFont="1" applyBorder="1" applyAlignment="1">
      <alignment horizontal="center" wrapText="1"/>
    </xf>
    <xf numFmtId="0" fontId="26" fillId="0" borderId="0" xfId="0" applyFont="1" applyAlignment="1">
      <alignment horizontal="center" vertical="center"/>
    </xf>
    <xf numFmtId="0" fontId="1" fillId="0" borderId="0" xfId="0" applyFont="1" applyAlignment="1">
      <alignment horizontal="center" vertical="center" wrapText="1"/>
    </xf>
    <xf numFmtId="0" fontId="13" fillId="0" borderId="9" xfId="0" applyFont="1" applyBorder="1" applyAlignment="1">
      <alignment horizontal="center" vertical="center" wrapText="1"/>
    </xf>
    <xf numFmtId="31" fontId="13" fillId="0" borderId="0" xfId="0" applyNumberFormat="1" applyFont="1" applyAlignment="1">
      <alignment horizontal="center" vertical="center" wrapText="1"/>
    </xf>
    <xf numFmtId="0" fontId="26" fillId="0" borderId="0" xfId="0" applyFont="1" applyAlignment="1">
      <alignment horizontal="center" vertical="center" wrapText="1"/>
    </xf>
    <xf numFmtId="0" fontId="26" fillId="0" borderId="3" xfId="0" applyFont="1" applyBorder="1" applyAlignment="1">
      <alignment horizontal="left" vertical="center"/>
    </xf>
    <xf numFmtId="14" fontId="10" fillId="0" borderId="0" xfId="0" applyNumberFormat="1" applyAlignment="1">
      <alignment horizontal="center" vertical="center" wrapText="1"/>
    </xf>
    <xf numFmtId="0" fontId="27" fillId="0" borderId="0" xfId="0" applyFont="1" applyAlignment="1">
      <alignment horizontal="right" vertical="center"/>
    </xf>
    <xf numFmtId="0" fontId="27" fillId="0" borderId="0" xfId="0" applyFont="1" applyAlignment="1">
      <alignment horizontal="center" vertical="center" wrapText="1"/>
    </xf>
    <xf numFmtId="0" fontId="0" fillId="0" borderId="0" xfId="0" applyAlignment="1">
      <alignment horizontal="center" vertical="center" wrapText="1"/>
    </xf>
    <xf numFmtId="0" fontId="28" fillId="0" borderId="0" xfId="0" applyFont="1" applyAlignment="1">
      <alignment horizontal="right" vertical="center" wrapText="1"/>
    </xf>
    <xf numFmtId="0" fontId="29" fillId="0" borderId="0" xfId="0" applyFont="1" applyAlignment="1">
      <alignment horizontal="center" vertical="center"/>
    </xf>
    <xf numFmtId="0" fontId="28" fillId="0" borderId="0" xfId="0" applyFont="1" applyAlignment="1">
      <alignment horizontal="left"/>
    </xf>
    <xf numFmtId="0" fontId="13" fillId="0" borderId="3" xfId="0" applyFont="1" applyBorder="1" applyAlignment="1">
      <alignment horizontal="center" vertical="center"/>
    </xf>
    <xf numFmtId="0" fontId="1" fillId="0" borderId="7" xfId="0" applyFont="1" applyBorder="1" applyAlignment="1">
      <alignment horizontal="center" vertical="center"/>
    </xf>
    <xf numFmtId="0" fontId="10" fillId="0" borderId="0" xfId="0" applyFont="1" applyAlignment="1">
      <alignment vertical="center"/>
    </xf>
    <xf numFmtId="0" fontId="27" fillId="0" borderId="0" xfId="0" applyFont="1" applyAlignment="1">
      <alignment vertical="center"/>
    </xf>
    <xf numFmtId="0" fontId="27" fillId="0" borderId="7" xfId="0" applyFont="1" applyBorder="1" applyAlignment="1">
      <alignment vertical="center"/>
    </xf>
    <xf numFmtId="0" fontId="1" fillId="0" borderId="10" xfId="0" applyFont="1" applyBorder="1" applyAlignment="1">
      <alignment vertical="center" shrinkToFit="1"/>
    </xf>
    <xf numFmtId="0" fontId="0" fillId="0" borderId="10" xfId="0" applyBorder="1" applyAlignment="1"/>
    <xf numFmtId="0" fontId="13" fillId="0" borderId="11" xfId="0" applyFont="1" applyBorder="1" applyAlignment="1">
      <alignment horizontal="center" vertical="center"/>
    </xf>
    <xf numFmtId="0" fontId="0" fillId="0" borderId="12" xfId="0" applyBorder="1" applyAlignment="1"/>
    <xf numFmtId="0" fontId="0" fillId="0" borderId="13" xfId="0" applyBorder="1" applyAlignment="1"/>
    <xf numFmtId="0" fontId="13" fillId="0" borderId="14" xfId="0" applyFont="1" applyBorder="1" applyAlignment="1">
      <alignment horizontal="center" vertical="center"/>
    </xf>
    <xf numFmtId="0" fontId="0" fillId="0" borderId="15" xfId="0" applyBorder="1" applyAlignment="1"/>
    <xf numFmtId="0" fontId="26" fillId="0" borderId="6" xfId="0" applyFont="1" applyBorder="1" applyAlignment="1">
      <alignment horizontal="center" vertical="center" wrapText="1" shrinkToFit="1"/>
    </xf>
    <xf numFmtId="0" fontId="10" fillId="0" borderId="6" xfId="0" applyBorder="1" applyAlignment="1">
      <alignment horizontal="center" vertical="center" shrinkToFit="1"/>
    </xf>
    <xf numFmtId="0" fontId="27" fillId="0" borderId="6" xfId="0" applyFont="1" applyBorder="1" applyAlignment="1">
      <alignment horizontal="center" vertical="center" shrinkToFit="1"/>
    </xf>
    <xf numFmtId="180" fontId="10" fillId="0" borderId="6" xfId="0" applyNumberFormat="1" applyBorder="1" applyAlignment="1">
      <alignment horizontal="center" vertical="center" shrinkToFit="1"/>
    </xf>
    <xf numFmtId="0" fontId="26" fillId="0" borderId="6" xfId="0" applyFont="1" applyBorder="1" applyAlignment="1">
      <alignment horizontal="center" vertical="center" shrinkToFit="1"/>
    </xf>
    <xf numFmtId="0" fontId="10" fillId="0" borderId="16" xfId="0" applyBorder="1" applyAlignment="1">
      <alignment horizontal="center" vertical="center" shrinkToFit="1"/>
    </xf>
    <xf numFmtId="4" fontId="10" fillId="0" borderId="8" xfId="0" applyNumberFormat="1" applyBorder="1" applyAlignment="1">
      <alignment horizontal="left" vertical="center" shrinkToFit="1"/>
    </xf>
    <xf numFmtId="0" fontId="26" fillId="0" borderId="6" xfId="0" applyFont="1" applyBorder="1" applyAlignment="1">
      <alignment horizontal="center" vertical="center"/>
    </xf>
    <xf numFmtId="0" fontId="10" fillId="0" borderId="6" xfId="0" applyBorder="1" applyAlignment="1">
      <alignment horizontal="center" vertical="center"/>
    </xf>
    <xf numFmtId="0" fontId="27" fillId="0" borderId="6" xfId="0" applyFont="1" applyBorder="1" applyAlignment="1">
      <alignment horizontal="center" vertical="center"/>
    </xf>
    <xf numFmtId="4" fontId="10" fillId="0" borderId="6" xfId="0" applyNumberFormat="1" applyBorder="1" applyAlignment="1">
      <alignment horizontal="center" vertical="center"/>
    </xf>
    <xf numFmtId="0" fontId="10" fillId="0" borderId="16" xfId="0" applyBorder="1" applyAlignment="1">
      <alignment horizontal="center" vertical="center"/>
    </xf>
    <xf numFmtId="4" fontId="10" fillId="0" borderId="8" xfId="0" applyNumberFormat="1" applyBorder="1" applyAlignment="1">
      <alignment horizontal="left" vertical="center"/>
    </xf>
    <xf numFmtId="0" fontId="30" fillId="0" borderId="0" xfId="0" applyFont="1" applyAlignment="1">
      <alignment vertical="center"/>
    </xf>
    <xf numFmtId="181" fontId="30" fillId="0" borderId="17" xfId="0" applyNumberFormat="1" applyFont="1" applyBorder="1" applyAlignment="1">
      <alignment horizontal="center" vertical="center"/>
    </xf>
    <xf numFmtId="0" fontId="31" fillId="0" borderId="0" xfId="0" applyFont="1" applyAlignment="1">
      <alignment vertical="center"/>
    </xf>
    <xf numFmtId="0" fontId="0" fillId="0" borderId="17" xfId="0" applyBorder="1" applyAlignment="1"/>
    <xf numFmtId="0" fontId="10" fillId="0" borderId="0" xfId="0" applyAlignment="1">
      <alignment horizontal="left" vertical="center"/>
    </xf>
    <xf numFmtId="0" fontId="32" fillId="0" borderId="0" xfId="0" applyFont="1" applyAlignment="1">
      <alignment vertical="center"/>
    </xf>
    <xf numFmtId="0" fontId="33" fillId="0" borderId="0" xfId="0" applyFont="1" applyAlignment="1">
      <alignment horizontal="center" vertical="center" wrapText="1"/>
    </xf>
    <xf numFmtId="0" fontId="34" fillId="0" borderId="0" xfId="0" applyFont="1" applyAlignment="1">
      <alignment horizontal="center" vertical="center"/>
    </xf>
    <xf numFmtId="0" fontId="0" fillId="0" borderId="0" xfId="0" applyAlignment="1">
      <alignment horizontal="left" vertical="center" wrapText="1"/>
    </xf>
    <xf numFmtId="14" fontId="35" fillId="0" borderId="9" xfId="0" applyNumberFormat="1" applyFont="1" applyBorder="1" applyAlignment="1">
      <alignment horizontal="left" vertical="center" wrapText="1"/>
    </xf>
    <xf numFmtId="0" fontId="36" fillId="0" borderId="0" xfId="0" applyFont="1" applyAlignment="1">
      <alignment vertical="center"/>
    </xf>
    <xf numFmtId="0" fontId="37" fillId="0" borderId="0" xfId="0" applyFont="1" applyAlignment="1">
      <alignment vertical="center"/>
    </xf>
    <xf numFmtId="0" fontId="1" fillId="0" borderId="0" xfId="0" applyFont="1" applyAlignment="1">
      <alignment horizontal="left" vertical="center" wrapText="1"/>
    </xf>
    <xf numFmtId="0" fontId="0" fillId="0" borderId="0" xfId="0" applyAlignment="1">
      <alignment vertical="center" wrapText="1"/>
    </xf>
    <xf numFmtId="0" fontId="10" fillId="0" borderId="9" xfId="0" applyFont="1" applyBorder="1" applyAlignment="1">
      <alignment horizontal="left" vertical="center" wrapText="1"/>
    </xf>
    <xf numFmtId="0" fontId="0" fillId="0" borderId="9" xfId="0" applyBorder="1" applyAlignment="1">
      <alignment horizontal="left" vertical="center" wrapText="1"/>
    </xf>
    <xf numFmtId="0" fontId="10" fillId="0" borderId="9" xfId="0" applyBorder="1" applyAlignment="1">
      <alignment horizontal="left" vertical="center" wrapText="1"/>
    </xf>
    <xf numFmtId="0" fontId="0" fillId="0" borderId="0" xfId="0" applyAlignment="1">
      <alignment wrapText="1"/>
    </xf>
    <xf numFmtId="0" fontId="10" fillId="0" borderId="0" xfId="0" applyAlignment="1">
      <alignment wrapText="1"/>
    </xf>
    <xf numFmtId="0" fontId="0" fillId="0" borderId="0" xfId="0" applyAlignment="1">
      <alignment horizontal="center" vertical="center"/>
    </xf>
    <xf numFmtId="0" fontId="38" fillId="0" borderId="0" xfId="0" applyFont="1" applyAlignment="1">
      <alignment vertical="center"/>
    </xf>
    <xf numFmtId="0" fontId="0" fillId="0" borderId="0" xfId="0" applyAlignment="1">
      <alignment vertical="top" wrapText="1"/>
    </xf>
    <xf numFmtId="0" fontId="0" fillId="0" borderId="9" xfId="0" applyBorder="1" applyAlignment="1">
      <alignment horizontal="center" vertical="top"/>
    </xf>
    <xf numFmtId="0" fontId="0" fillId="0" borderId="9" xfId="0" applyBorder="1" applyAlignment="1">
      <alignment horizontal="center" vertical="center"/>
    </xf>
    <xf numFmtId="0" fontId="0" fillId="0" borderId="0" xfId="0" applyAlignment="1">
      <alignment horizontal="center" vertical="top"/>
    </xf>
    <xf numFmtId="0" fontId="0" fillId="0" borderId="1" xfId="0" applyBorder="1" applyAlignment="1">
      <alignment horizontal="center" vertical="center" wrapText="1"/>
    </xf>
    <xf numFmtId="0" fontId="26" fillId="0" borderId="1" xfId="0" applyFont="1" applyBorder="1" applyAlignment="1">
      <alignment horizontal="center" vertical="center" wrapText="1"/>
    </xf>
    <xf numFmtId="0" fontId="0" fillId="0" borderId="6" xfId="0" applyBorder="1" applyAlignment="1">
      <alignment horizontal="center" vertical="center" wrapText="1"/>
    </xf>
    <xf numFmtId="0" fontId="10" fillId="0" borderId="18" xfId="0" applyBorder="1" applyAlignment="1">
      <alignment horizontal="center" vertical="center" wrapText="1"/>
    </xf>
    <xf numFmtId="0" fontId="26" fillId="0" borderId="19" xfId="0" applyFont="1" applyBorder="1" applyAlignment="1">
      <alignment horizontal="center" vertical="center" wrapText="1" shrinkToFit="1"/>
    </xf>
    <xf numFmtId="0" fontId="13" fillId="0" borderId="19" xfId="0" applyFont="1" applyBorder="1" applyAlignment="1">
      <alignment horizontal="center" vertical="center" shrinkToFit="1"/>
    </xf>
    <xf numFmtId="0" fontId="0" fillId="0" borderId="19" xfId="0" applyBorder="1" applyAlignment="1"/>
    <xf numFmtId="0" fontId="10" fillId="0" borderId="0" xfId="0" applyAlignment="1" applyProtection="1">
      <alignment horizontal="center" vertical="center" shrinkToFit="1"/>
      <protection locked="0"/>
    </xf>
    <xf numFmtId="0" fontId="10" fillId="0" borderId="0" xfId="0" applyAlignment="1" applyProtection="1">
      <alignment horizontal="left" vertical="center" shrinkToFit="1"/>
    </xf>
    <xf numFmtId="0" fontId="10" fillId="0" borderId="18" xfId="0" applyBorder="1" applyAlignment="1">
      <alignment horizontal="center" vertical="center" shrinkToFit="1"/>
    </xf>
    <xf numFmtId="0" fontId="10" fillId="0" borderId="19" xfId="0" applyBorder="1" applyAlignment="1">
      <alignment horizontal="center" vertical="center" shrinkToFit="1"/>
    </xf>
    <xf numFmtId="0" fontId="13" fillId="0" borderId="0" xfId="0" applyFont="1" applyAlignment="1">
      <alignment vertical="center"/>
    </xf>
    <xf numFmtId="0" fontId="10" fillId="0" borderId="18" xfId="0" applyBorder="1" applyAlignment="1">
      <alignment vertical="top" wrapText="1"/>
    </xf>
    <xf numFmtId="0" fontId="26" fillId="0" borderId="19" xfId="0" applyFont="1" applyBorder="1" applyAlignment="1">
      <alignment horizontal="center" vertical="center" shrinkToFit="1"/>
    </xf>
    <xf numFmtId="0" fontId="10" fillId="0" borderId="0" xfId="0" applyAlignment="1" applyProtection="1">
      <alignment horizontal="right" vertical="center" shrinkToFit="1"/>
      <protection locked="0"/>
    </xf>
    <xf numFmtId="0" fontId="10" fillId="0" borderId="0" xfId="0" applyAlignment="1" applyProtection="1">
      <alignment horizontal="left" vertical="center" shrinkToFit="1"/>
      <protection locked="0"/>
    </xf>
    <xf numFmtId="0" fontId="10" fillId="0" borderId="14" xfId="0" applyBorder="1" applyAlignment="1">
      <alignment vertical="top" wrapText="1"/>
    </xf>
    <xf numFmtId="0" fontId="10" fillId="0" borderId="14" xfId="0" applyBorder="1" applyAlignment="1">
      <alignment horizontal="center" vertical="center" shrinkToFit="1"/>
    </xf>
    <xf numFmtId="0" fontId="39" fillId="0" borderId="1" xfId="0" applyFont="1" applyBorder="1" applyAlignment="1">
      <alignment vertical="center" wrapText="1"/>
    </xf>
    <xf numFmtId="0" fontId="39" fillId="0" borderId="1" xfId="0" applyFont="1" applyBorder="1" applyAlignment="1">
      <alignment vertical="center" shrinkToFit="1"/>
    </xf>
    <xf numFmtId="0" fontId="10" fillId="0" borderId="1" xfId="0" applyBorder="1" applyAlignment="1">
      <alignment horizontal="center" vertical="center" shrinkToFit="1"/>
    </xf>
    <xf numFmtId="0" fontId="10" fillId="0" borderId="1" xfId="0" applyBorder="1" applyAlignment="1" applyProtection="1">
      <alignment vertical="center" shrinkToFit="1"/>
      <protection locked="0"/>
    </xf>
    <xf numFmtId="0" fontId="39" fillId="0" borderId="0" xfId="0" applyFont="1" applyAlignment="1">
      <alignment horizontal="center" vertical="center" wrapText="1"/>
    </xf>
    <xf numFmtId="0" fontId="40" fillId="0" borderId="0" xfId="0" applyFont="1" applyAlignment="1">
      <alignment horizontal="left" vertical="top" wrapText="1"/>
    </xf>
    <xf numFmtId="0" fontId="41" fillId="0" borderId="0" xfId="0" applyFont="1" applyAlignment="1">
      <alignment horizontal="left" vertical="center" wrapText="1"/>
    </xf>
    <xf numFmtId="0" fontId="42" fillId="0" borderId="0" xfId="0" applyFont="1" applyAlignment="1">
      <alignment horizontal="left" vertical="center" wrapText="1"/>
    </xf>
    <xf numFmtId="49" fontId="43" fillId="0" borderId="0" xfId="0" applyNumberFormat="1" applyFont="1" applyAlignment="1">
      <alignment horizontal="center" vertical="top" wrapText="1"/>
    </xf>
    <xf numFmtId="0" fontId="44" fillId="0" borderId="0" xfId="0" applyFont="1" applyAlignment="1">
      <alignment horizontal="left" vertical="top" wrapText="1"/>
    </xf>
    <xf numFmtId="0" fontId="44" fillId="0" borderId="0" xfId="0" applyFont="1" applyAlignment="1">
      <alignment vertical="top" wrapText="1"/>
    </xf>
    <xf numFmtId="14" fontId="44" fillId="0" borderId="0" xfId="0" applyNumberFormat="1" applyFont="1" applyAlignment="1">
      <alignment horizontal="left" vertical="top" wrapText="1"/>
    </xf>
    <xf numFmtId="0" fontId="44" fillId="0" borderId="0" xfId="0" applyFont="1" applyAlignment="1">
      <alignment horizontal="left" vertical="center" wrapText="1" indent="1"/>
    </xf>
    <xf numFmtId="0" fontId="44" fillId="0" borderId="0" xfId="0" applyFont="1" applyAlignment="1">
      <alignment vertical="center" wrapText="1"/>
    </xf>
    <xf numFmtId="0" fontId="44" fillId="0" borderId="0" xfId="0" applyFont="1" applyAlignment="1">
      <alignment horizontal="left" vertical="center" wrapText="1"/>
    </xf>
    <xf numFmtId="0" fontId="45" fillId="0" borderId="5" xfId="0" applyFont="1" applyBorder="1" applyAlignment="1">
      <alignment horizontal="center" vertical="center" wrapText="1"/>
    </xf>
    <xf numFmtId="0" fontId="0" fillId="0" borderId="20" xfId="0" applyBorder="1" applyAlignment="1"/>
    <xf numFmtId="0" fontId="0" fillId="0" borderId="21" xfId="0" applyBorder="1" applyAlignment="1"/>
    <xf numFmtId="177" fontId="45" fillId="0" borderId="5" xfId="0" applyNumberFormat="1" applyFont="1" applyBorder="1" applyAlignment="1">
      <alignment horizontal="center" vertical="center" wrapText="1"/>
    </xf>
    <xf numFmtId="0" fontId="46" fillId="0" borderId="5" xfId="0" applyFont="1" applyBorder="1" applyAlignment="1">
      <alignment horizontal="center" vertical="center" wrapText="1"/>
    </xf>
    <xf numFmtId="0" fontId="0" fillId="0" borderId="20" xfId="0" applyBorder="1" applyAlignment="1">
      <alignment horizontal="center"/>
    </xf>
    <xf numFmtId="0" fontId="0" fillId="0" borderId="21" xfId="0" applyBorder="1" applyAlignment="1">
      <alignment horizontal="center"/>
    </xf>
    <xf numFmtId="4" fontId="45" fillId="0" borderId="5" xfId="0" applyNumberFormat="1" applyFont="1" applyBorder="1" applyAlignment="1">
      <alignment horizontal="center" vertical="center" wrapText="1"/>
    </xf>
    <xf numFmtId="0" fontId="45" fillId="0" borderId="22" xfId="0" applyFont="1" applyBorder="1" applyAlignment="1">
      <alignment horizontal="left" vertical="center" wrapText="1"/>
    </xf>
    <xf numFmtId="0" fontId="40" fillId="0" borderId="21" xfId="0" applyFont="1" applyBorder="1" applyAlignment="1">
      <alignment horizontal="left" vertical="top" wrapText="1"/>
    </xf>
    <xf numFmtId="182" fontId="45" fillId="0" borderId="21" xfId="0" applyNumberFormat="1" applyFont="1" applyBorder="1" applyAlignment="1">
      <alignment horizontal="right" vertical="center" wrapText="1"/>
    </xf>
    <xf numFmtId="0" fontId="40" fillId="0" borderId="5" xfId="0" applyFont="1" applyBorder="1" applyAlignment="1">
      <alignment horizontal="center" vertical="top" wrapText="1"/>
    </xf>
    <xf numFmtId="0" fontId="46" fillId="0" borderId="0" xfId="0" applyFont="1" applyAlignment="1">
      <alignment horizontal="left" wrapText="1"/>
    </xf>
    <xf numFmtId="0" fontId="46" fillId="0" borderId="0" xfId="0" applyFont="1" applyAlignment="1">
      <alignment horizontal="left" vertical="top" wrapText="1"/>
    </xf>
    <xf numFmtId="0" fontId="45" fillId="0" borderId="0" xfId="0" applyFont="1" applyAlignment="1">
      <alignment horizontal="left" vertical="center" wrapText="1"/>
    </xf>
    <xf numFmtId="0" fontId="45" fillId="0" borderId="0" xfId="0" applyFont="1" applyAlignment="1">
      <alignment horizontal="left" vertical="top" wrapText="1"/>
    </xf>
    <xf numFmtId="49" fontId="45" fillId="0" borderId="0" xfId="0" applyNumberFormat="1" applyFont="1" applyAlignment="1">
      <alignment horizontal="left" vertical="top" wrapText="1"/>
    </xf>
    <xf numFmtId="49" fontId="45" fillId="0" borderId="0" xfId="0" applyNumberFormat="1" applyFont="1" applyAlignment="1">
      <alignment horizontal="left" vertical="center" wrapText="1"/>
    </xf>
    <xf numFmtId="0" fontId="0" fillId="0" borderId="0" xfId="0" applyAlignment="1">
      <alignment horizontal="left" vertical="center"/>
    </xf>
    <xf numFmtId="0" fontId="27" fillId="0" borderId="0" xfId="0" applyFont="1" applyAlignment="1">
      <alignment vertical="center" wrapText="1"/>
    </xf>
    <xf numFmtId="0" fontId="39" fillId="0" borderId="0" xfId="0" applyFont="1" applyAlignment="1">
      <alignment horizontal="left" vertical="center"/>
    </xf>
    <xf numFmtId="0" fontId="47" fillId="0" borderId="0" xfId="0" applyFont="1" applyAlignment="1">
      <alignment horizontal="left" vertical="center"/>
    </xf>
    <xf numFmtId="0" fontId="48" fillId="0" borderId="0" xfId="6" applyAlignment="1">
      <alignment horizontal="left" vertical="center"/>
    </xf>
    <xf numFmtId="0" fontId="49" fillId="0" borderId="0" xfId="6" applyFont="1" applyAlignment="1">
      <alignment horizontal="left" vertical="center"/>
    </xf>
    <xf numFmtId="0" fontId="50" fillId="0" borderId="0" xfId="0" applyFont="1" applyAlignment="1">
      <alignment horizontal="center" vertical="center" wrapText="1"/>
    </xf>
    <xf numFmtId="0" fontId="27" fillId="0" borderId="1" xfId="0" applyFont="1" applyBorder="1" applyAlignment="1">
      <alignment horizontal="center" vertical="center" wrapText="1"/>
    </xf>
    <xf numFmtId="0" fontId="26" fillId="0" borderId="0" xfId="0" applyFont="1" applyAlignment="1">
      <alignment vertical="center"/>
    </xf>
    <xf numFmtId="0" fontId="0" fillId="0" borderId="0" xfId="0" applyAlignment="1">
      <alignment horizontal="right" vertical="center"/>
    </xf>
    <xf numFmtId="0" fontId="51" fillId="0" borderId="0" xfId="0" applyFont="1" applyAlignment="1">
      <alignment horizontal="center" vertical="center"/>
    </xf>
    <xf numFmtId="0" fontId="27" fillId="0" borderId="0" xfId="0" applyFont="1" applyAlignment="1">
      <alignment horizontal="right" vertical="center" shrinkToFit="1"/>
    </xf>
    <xf numFmtId="0" fontId="27" fillId="0" borderId="0" xfId="0" applyFont="1" applyAlignment="1">
      <alignment horizontal="left" vertical="center" shrinkToFit="1"/>
    </xf>
    <xf numFmtId="0" fontId="27" fillId="5" borderId="0" xfId="0" applyFont="1" applyFill="1" applyAlignment="1">
      <alignment horizontal="right" vertical="center" shrinkToFit="1"/>
    </xf>
    <xf numFmtId="0" fontId="27" fillId="0" borderId="0" xfId="0" applyFont="1" applyAlignment="1">
      <alignment vertical="center" shrinkToFit="1"/>
    </xf>
    <xf numFmtId="0" fontId="27" fillId="0" borderId="23" xfId="0" applyFont="1" applyBorder="1" applyAlignment="1">
      <alignment horizontal="left" vertical="center" shrinkToFit="1"/>
    </xf>
    <xf numFmtId="0" fontId="0" fillId="0" borderId="24" xfId="0" applyBorder="1" applyAlignment="1"/>
    <xf numFmtId="0" fontId="27" fillId="0" borderId="25" xfId="0" applyFont="1" applyBorder="1" applyAlignment="1">
      <alignment horizontal="left" vertical="center" shrinkToFit="1"/>
    </xf>
    <xf numFmtId="0" fontId="0" fillId="0" borderId="25" xfId="0" applyBorder="1" applyAlignment="1"/>
    <xf numFmtId="0" fontId="52" fillId="0" borderId="26" xfId="0" applyFont="1" applyBorder="1" applyAlignment="1">
      <alignment vertical="center" shrinkToFit="1"/>
    </xf>
    <xf numFmtId="49" fontId="27" fillId="0" borderId="25" xfId="0" applyNumberFormat="1" applyFont="1" applyBorder="1" applyAlignment="1">
      <alignment vertical="center" shrinkToFit="1"/>
    </xf>
    <xf numFmtId="0" fontId="27" fillId="0" borderId="26" xfId="0" applyFont="1" applyBorder="1" applyAlignment="1">
      <alignment vertical="center" shrinkToFit="1"/>
    </xf>
    <xf numFmtId="0" fontId="27" fillId="0" borderId="27" xfId="0" applyFont="1" applyBorder="1" applyAlignment="1">
      <alignment horizontal="left" vertical="center" shrinkToFit="1"/>
    </xf>
    <xf numFmtId="0" fontId="0" fillId="0" borderId="27" xfId="0" applyBorder="1" applyAlignment="1"/>
    <xf numFmtId="0" fontId="53" fillId="6" borderId="23" xfId="0" applyFont="1" applyFill="1" applyBorder="1" applyAlignment="1"/>
    <xf numFmtId="0" fontId="54" fillId="6" borderId="24" xfId="0" applyFont="1" applyFill="1" applyBorder="1" applyAlignment="1"/>
    <xf numFmtId="0" fontId="53" fillId="6" borderId="24" xfId="0" applyFont="1" applyFill="1" applyBorder="1" applyAlignment="1"/>
    <xf numFmtId="0" fontId="53" fillId="6" borderId="27" xfId="0" applyFont="1" applyFill="1" applyBorder="1" applyAlignment="1"/>
    <xf numFmtId="0" fontId="39" fillId="0" borderId="28" xfId="0" applyFont="1" applyBorder="1" applyAlignment="1">
      <alignment horizontal="left" vertical="center" shrinkToFit="1"/>
    </xf>
    <xf numFmtId="0" fontId="0" fillId="0" borderId="14" xfId="0" applyBorder="1" applyAlignment="1">
      <alignment horizontal="left" vertical="center" shrinkToFit="1"/>
    </xf>
    <xf numFmtId="14" fontId="0" fillId="0" borderId="29" xfId="0" applyNumberFormat="1" applyBorder="1" applyAlignment="1">
      <alignment horizontal="left" vertical="center" wrapText="1" shrinkToFit="1"/>
    </xf>
    <xf numFmtId="0" fontId="0" fillId="0" borderId="15" xfId="0" applyBorder="1" applyAlignment="1">
      <alignment vertical="center" shrinkToFit="1"/>
    </xf>
    <xf numFmtId="14" fontId="35" fillId="0" borderId="14" xfId="0" applyNumberFormat="1" applyFont="1" applyBorder="1" applyAlignment="1">
      <alignment horizontal="left" vertical="center" shrinkToFit="1"/>
    </xf>
    <xf numFmtId="0" fontId="0" fillId="0" borderId="30" xfId="0" applyBorder="1" applyAlignment="1">
      <alignment horizontal="left" vertical="center" shrinkToFit="1"/>
    </xf>
    <xf numFmtId="0" fontId="0" fillId="0" borderId="31" xfId="0" applyBorder="1" applyAlignment="1"/>
    <xf numFmtId="0" fontId="53" fillId="6" borderId="32" xfId="0" applyFont="1" applyFill="1" applyBorder="1" applyAlignment="1">
      <alignment vertical="center"/>
    </xf>
    <xf numFmtId="0" fontId="54" fillId="6" borderId="0" xfId="0" applyFont="1" applyFill="1" applyAlignment="1">
      <alignment horizontal="center" vertical="center"/>
    </xf>
    <xf numFmtId="0" fontId="54" fillId="6" borderId="0" xfId="0" applyFont="1" applyFill="1" applyAlignment="1">
      <alignment vertical="center"/>
    </xf>
    <xf numFmtId="0" fontId="53" fillId="6" borderId="0" xfId="0" applyFont="1" applyFill="1" applyAlignment="1">
      <alignment vertical="center"/>
    </xf>
    <xf numFmtId="0" fontId="53" fillId="6" borderId="33" xfId="0" applyFont="1" applyFill="1" applyBorder="1" applyAlignment="1"/>
    <xf numFmtId="0" fontId="52" fillId="0" borderId="34" xfId="0" applyFont="1" applyBorder="1" applyAlignment="1">
      <alignment horizontal="left" vertical="center" shrinkToFit="1"/>
    </xf>
    <xf numFmtId="0" fontId="27" fillId="0" borderId="7" xfId="0" applyFont="1" applyBorder="1" applyAlignment="1">
      <alignment vertical="center" shrinkToFit="1"/>
    </xf>
    <xf numFmtId="0" fontId="27" fillId="0" borderId="8" xfId="0" applyFont="1" applyBorder="1" applyAlignment="1">
      <alignment horizontal="left" vertical="center" shrinkToFit="1"/>
    </xf>
    <xf numFmtId="0" fontId="27" fillId="0" borderId="16" xfId="0" applyFont="1" applyBorder="1" applyAlignment="1">
      <alignment vertical="center" shrinkToFit="1"/>
    </xf>
    <xf numFmtId="0" fontId="27" fillId="0" borderId="8" xfId="0" applyFont="1" applyBorder="1" applyAlignment="1">
      <alignment vertical="center" shrinkToFit="1"/>
    </xf>
    <xf numFmtId="0" fontId="27" fillId="0" borderId="6" xfId="0" applyFont="1" applyBorder="1" applyAlignment="1">
      <alignment horizontal="left" vertical="center" shrinkToFit="1"/>
    </xf>
    <xf numFmtId="0" fontId="27" fillId="0" borderId="16" xfId="0" applyFont="1" applyBorder="1" applyAlignment="1">
      <alignment horizontal="left" vertical="center" shrinkToFit="1"/>
    </xf>
    <xf numFmtId="0" fontId="27" fillId="0" borderId="35" xfId="0" applyFont="1" applyBorder="1" applyAlignment="1">
      <alignment horizontal="left" vertical="center" shrinkToFit="1"/>
    </xf>
    <xf numFmtId="0" fontId="0" fillId="0" borderId="35" xfId="0" applyBorder="1" applyAlignment="1"/>
    <xf numFmtId="0" fontId="53" fillId="6" borderId="32" xfId="0" applyFont="1" applyFill="1" applyBorder="1" applyAlignment="1"/>
    <xf numFmtId="0" fontId="53" fillId="6" borderId="0" xfId="0" applyFont="1" applyFill="1" applyAlignment="1"/>
    <xf numFmtId="0" fontId="27" fillId="0" borderId="34" xfId="0" applyFont="1" applyBorder="1" applyAlignment="1">
      <alignment horizontal="left" vertical="center" shrinkToFit="1"/>
    </xf>
    <xf numFmtId="0" fontId="39" fillId="0" borderId="14" xfId="0" applyFont="1" applyBorder="1" applyAlignment="1">
      <alignment horizontal="left" vertical="center" shrinkToFit="1"/>
    </xf>
    <xf numFmtId="0" fontId="39" fillId="0" borderId="29" xfId="0" applyFont="1" applyBorder="1" applyAlignment="1">
      <alignment horizontal="left" vertical="center" shrinkToFit="1"/>
    </xf>
    <xf numFmtId="0" fontId="27" fillId="5" borderId="34" xfId="0" applyFont="1" applyFill="1" applyBorder="1" applyAlignment="1">
      <alignment horizontal="left" vertical="center" shrinkToFit="1"/>
    </xf>
    <xf numFmtId="0" fontId="27" fillId="0" borderId="7" xfId="0" applyFont="1" applyBorder="1" applyAlignment="1">
      <alignment horizontal="left" vertical="center" shrinkToFit="1"/>
    </xf>
    <xf numFmtId="0" fontId="52" fillId="0" borderId="16" xfId="0" applyFont="1" applyBorder="1" applyAlignment="1">
      <alignment vertical="center" shrinkToFit="1"/>
    </xf>
    <xf numFmtId="0" fontId="47" fillId="0" borderId="14" xfId="0" applyFont="1" applyBorder="1" applyAlignment="1">
      <alignment horizontal="left" vertical="center" shrinkToFit="1"/>
    </xf>
    <xf numFmtId="0" fontId="0" fillId="0" borderId="29" xfId="0" applyBorder="1" applyAlignment="1">
      <alignment horizontal="left" vertical="center" shrinkToFit="1"/>
    </xf>
    <xf numFmtId="0" fontId="27" fillId="0" borderId="18" xfId="0" applyFont="1" applyBorder="1" applyAlignment="1">
      <alignment vertical="center" shrinkToFit="1"/>
    </xf>
    <xf numFmtId="0" fontId="27" fillId="0" borderId="6" xfId="0" applyFont="1" applyBorder="1" applyAlignment="1">
      <alignment vertical="center" shrinkToFit="1"/>
    </xf>
    <xf numFmtId="0" fontId="27" fillId="0" borderId="16" xfId="0" applyFont="1" applyBorder="1" applyAlignment="1">
      <alignment horizontal="right" vertical="center" shrinkToFit="1"/>
    </xf>
    <xf numFmtId="0" fontId="27" fillId="0" borderId="35" xfId="0" applyFont="1" applyBorder="1" applyAlignment="1">
      <alignment horizontal="center" vertical="center" shrinkToFit="1"/>
    </xf>
    <xf numFmtId="0" fontId="53" fillId="6" borderId="36" xfId="0" applyFont="1" applyFill="1" applyBorder="1" applyAlignment="1"/>
    <xf numFmtId="0" fontId="53" fillId="6" borderId="37" xfId="0" applyFont="1" applyFill="1" applyBorder="1" applyAlignment="1"/>
    <xf numFmtId="0" fontId="53" fillId="6" borderId="38" xfId="0" applyFont="1" applyFill="1" applyBorder="1" applyAlignment="1"/>
    <xf numFmtId="43" fontId="39" fillId="0" borderId="14" xfId="0" applyNumberFormat="1" applyFont="1" applyBorder="1" applyAlignment="1">
      <alignment horizontal="center" vertical="center" wrapText="1" shrinkToFit="1"/>
    </xf>
    <xf numFmtId="0" fontId="0" fillId="0" borderId="15" xfId="0" applyBorder="1" applyAlignment="1">
      <alignment horizontal="center"/>
    </xf>
    <xf numFmtId="0" fontId="39" fillId="0" borderId="15" xfId="0" applyFont="1" applyBorder="1" applyAlignment="1">
      <alignment horizontal="left" vertical="center" shrinkToFit="1"/>
    </xf>
    <xf numFmtId="0" fontId="39" fillId="0" borderId="30" xfId="0" applyFont="1" applyBorder="1" applyAlignment="1">
      <alignment horizontal="left" vertical="center" shrinkToFit="1"/>
    </xf>
    <xf numFmtId="0" fontId="52" fillId="0" borderId="0" xfId="0" applyFont="1" applyAlignment="1">
      <alignment horizontal="right" vertical="center"/>
    </xf>
    <xf numFmtId="0" fontId="27" fillId="0" borderId="34" xfId="0" applyFont="1" applyBorder="1" applyAlignment="1">
      <alignment vertical="center"/>
    </xf>
    <xf numFmtId="0" fontId="27" fillId="0" borderId="35" xfId="0" applyFont="1" applyBorder="1" applyAlignment="1">
      <alignment horizontal="left" vertical="center"/>
    </xf>
    <xf numFmtId="0" fontId="52" fillId="0" borderId="36" xfId="0" applyFont="1" applyBorder="1" applyAlignment="1">
      <alignment horizontal="right" vertical="center"/>
    </xf>
    <xf numFmtId="0" fontId="0" fillId="0" borderId="37" xfId="0" applyBorder="1" applyAlignment="1"/>
    <xf numFmtId="0" fontId="52" fillId="0" borderId="38" xfId="0" applyFont="1" applyBorder="1" applyAlignment="1">
      <alignment horizontal="left" vertical="center"/>
    </xf>
    <xf numFmtId="0" fontId="0" fillId="0" borderId="38" xfId="0" applyBorder="1" applyAlignment="1"/>
    <xf numFmtId="0" fontId="27" fillId="0" borderId="32" xfId="0" applyFont="1" applyBorder="1" applyAlignment="1">
      <alignment vertical="center"/>
    </xf>
    <xf numFmtId="0" fontId="27" fillId="0" borderId="33" xfId="0" applyFont="1" applyBorder="1" applyAlignment="1">
      <alignment horizontal="left" vertical="center"/>
    </xf>
    <xf numFmtId="0" fontId="0" fillId="0" borderId="33" xfId="0" applyBorder="1" applyAlignment="1"/>
    <xf numFmtId="0" fontId="0" fillId="0" borderId="33" xfId="0" applyBorder="1" applyAlignment="1">
      <alignment horizontal="left" vertical="center"/>
    </xf>
    <xf numFmtId="0" fontId="0" fillId="0" borderId="32" xfId="0" applyBorder="1" applyAlignment="1">
      <alignment horizontal="left" vertical="center"/>
    </xf>
    <xf numFmtId="0" fontId="27" fillId="0" borderId="39" xfId="0" applyFont="1" applyBorder="1" applyAlignment="1">
      <alignment vertical="center"/>
    </xf>
    <xf numFmtId="0" fontId="0" fillId="0" borderId="24" xfId="0" applyBorder="1" applyAlignment="1">
      <alignment vertical="center"/>
    </xf>
    <xf numFmtId="0" fontId="0" fillId="0" borderId="27" xfId="0" applyBorder="1" applyAlignment="1">
      <alignment vertical="center"/>
    </xf>
    <xf numFmtId="0" fontId="52" fillId="0" borderId="0" xfId="0" applyFont="1" applyAlignment="1">
      <alignment vertical="center"/>
    </xf>
    <xf numFmtId="0" fontId="55" fillId="0" borderId="40" xfId="0" applyFont="1" applyBorder="1" applyAlignment="1">
      <alignment vertical="center"/>
    </xf>
    <xf numFmtId="0" fontId="55" fillId="0" borderId="41" xfId="0" applyFont="1" applyBorder="1" applyAlignment="1">
      <alignment vertical="center"/>
    </xf>
    <xf numFmtId="0" fontId="55" fillId="0" borderId="42" xfId="0" applyFont="1" applyBorder="1" applyAlignment="1">
      <alignment horizontal="left" vertical="center"/>
    </xf>
    <xf numFmtId="0" fontId="55" fillId="0" borderId="43" xfId="0" applyFont="1" applyBorder="1" applyAlignment="1">
      <alignment horizontal="right" vertical="center"/>
    </xf>
    <xf numFmtId="0" fontId="55" fillId="0" borderId="41" xfId="0" applyFont="1" applyBorder="1" applyAlignment="1">
      <alignment horizontal="right" vertical="center"/>
    </xf>
    <xf numFmtId="0" fontId="0" fillId="0" borderId="41" xfId="0" applyBorder="1" applyAlignment="1"/>
    <xf numFmtId="0" fontId="56" fillId="0" borderId="44" xfId="0" applyFont="1" applyBorder="1" applyAlignment="1">
      <alignment vertical="center"/>
    </xf>
    <xf numFmtId="0" fontId="57" fillId="0" borderId="45" xfId="0" applyFont="1" applyBorder="1" applyAlignment="1">
      <alignment horizontal="center" vertical="center"/>
    </xf>
    <xf numFmtId="0" fontId="0" fillId="0" borderId="45" xfId="0" applyBorder="1" applyAlignment="1"/>
    <xf numFmtId="0" fontId="26" fillId="0" borderId="45" xfId="0" applyFont="1" applyBorder="1" applyAlignment="1">
      <alignment horizontal="center" vertical="center" shrinkToFit="1"/>
    </xf>
    <xf numFmtId="0" fontId="26" fillId="0" borderId="39" xfId="0" applyFont="1" applyBorder="1" applyAlignment="1">
      <alignment horizontal="center" vertical="center" shrinkToFit="1"/>
    </xf>
    <xf numFmtId="0" fontId="27" fillId="0" borderId="29" xfId="0" applyFont="1" applyBorder="1" applyAlignment="1">
      <alignment horizontal="center" vertical="center"/>
    </xf>
    <xf numFmtId="0" fontId="52" fillId="0" borderId="9" xfId="0" applyFont="1" applyBorder="1" applyAlignment="1">
      <alignment horizontal="center" vertical="center"/>
    </xf>
    <xf numFmtId="0" fontId="27" fillId="0" borderId="9" xfId="0" applyFont="1" applyBorder="1" applyAlignment="1">
      <alignment horizontal="center" vertical="center"/>
    </xf>
    <xf numFmtId="0" fontId="0" fillId="0" borderId="9" xfId="0" applyBorder="1" applyAlignment="1">
      <alignment horizontal="center"/>
    </xf>
    <xf numFmtId="0" fontId="27" fillId="0" borderId="15" xfId="0" applyFont="1" applyBorder="1" applyAlignment="1">
      <alignment horizontal="center" vertical="center"/>
    </xf>
    <xf numFmtId="0" fontId="27" fillId="0" borderId="33" xfId="0" applyFont="1" applyBorder="1" applyAlignment="1">
      <alignment horizontal="center" vertical="center" shrinkToFit="1"/>
    </xf>
    <xf numFmtId="0" fontId="27" fillId="0" borderId="46" xfId="0" applyFont="1" applyBorder="1" applyAlignment="1">
      <alignment horizontal="center" vertical="center" shrinkToFit="1"/>
    </xf>
    <xf numFmtId="0" fontId="0" fillId="0" borderId="17" xfId="0" applyBorder="1" applyAlignment="1">
      <alignment horizontal="center" vertical="center" shrinkToFit="1"/>
    </xf>
    <xf numFmtId="0" fontId="0" fillId="0" borderId="0" xfId="0" applyAlignment="1">
      <alignment horizontal="left" vertical="center" shrinkToFit="1"/>
    </xf>
    <xf numFmtId="0" fontId="0" fillId="0" borderId="0" xfId="0" applyAlignment="1">
      <alignment horizontal="center" vertical="center" wrapText="1" shrinkToFit="1"/>
    </xf>
    <xf numFmtId="0" fontId="0" fillId="0" borderId="0" xfId="0" applyAlignment="1">
      <alignment horizontal="center"/>
    </xf>
    <xf numFmtId="0" fontId="0" fillId="0" borderId="0" xfId="0" applyAlignment="1">
      <alignment horizontal="center" vertical="center" shrinkToFit="1"/>
    </xf>
    <xf numFmtId="0" fontId="0" fillId="0" borderId="0" xfId="0" applyAlignment="1">
      <alignment vertical="center" shrinkToFit="1"/>
    </xf>
    <xf numFmtId="181" fontId="0" fillId="0" borderId="0" xfId="0" applyNumberFormat="1" applyAlignment="1">
      <alignment horizontal="right" vertical="center" shrinkToFit="1"/>
    </xf>
    <xf numFmtId="181" fontId="0" fillId="0" borderId="0" xfId="0" applyNumberFormat="1" applyAlignment="1"/>
    <xf numFmtId="0" fontId="0" fillId="0" borderId="19" xfId="0" applyBorder="1" applyAlignment="1">
      <alignment vertical="center" shrinkToFit="1"/>
    </xf>
    <xf numFmtId="0" fontId="0" fillId="0" borderId="2" xfId="0" applyBorder="1" applyAlignment="1">
      <alignment horizontal="center" vertical="center" shrinkToFit="1"/>
    </xf>
    <xf numFmtId="0" fontId="0" fillId="0" borderId="1" xfId="0" applyBorder="1" applyAlignment="1">
      <alignment horizontal="center" vertical="center" shrinkToFit="1"/>
    </xf>
    <xf numFmtId="0" fontId="27" fillId="0" borderId="9" xfId="0" applyFont="1" applyBorder="1" applyAlignment="1">
      <alignment horizontal="left" vertical="center" wrapText="1" shrinkToFit="1"/>
    </xf>
    <xf numFmtId="0" fontId="0" fillId="0" borderId="0" xfId="0" applyAlignment="1">
      <alignment horizontal="right" vertical="center" shrinkToFit="1"/>
    </xf>
    <xf numFmtId="0" fontId="0" fillId="0" borderId="18" xfId="0" applyBorder="1" applyAlignment="1"/>
    <xf numFmtId="0" fontId="27" fillId="0" borderId="29" xfId="0" applyFont="1" applyBorder="1" applyAlignment="1">
      <alignment horizontal="center" vertical="center" shrinkToFit="1"/>
    </xf>
    <xf numFmtId="0" fontId="0" fillId="0" borderId="9" xfId="0" applyBorder="1" applyAlignment="1">
      <alignment horizontal="left" vertical="center" shrinkToFit="1"/>
    </xf>
    <xf numFmtId="0" fontId="0" fillId="0" borderId="9" xfId="0" applyBorder="1" applyAlignment="1">
      <alignment vertical="center" shrinkToFit="1"/>
    </xf>
    <xf numFmtId="0" fontId="0" fillId="0" borderId="9" xfId="0" applyBorder="1" applyAlignment="1">
      <alignment horizontal="right" vertical="center" shrinkToFit="1"/>
    </xf>
    <xf numFmtId="0" fontId="0" fillId="0" borderId="9" xfId="0" applyBorder="1" applyAlignment="1">
      <alignment horizontal="center" vertical="center" shrinkToFit="1"/>
    </xf>
    <xf numFmtId="0" fontId="0" fillId="0" borderId="14" xfId="0" applyBorder="1" applyAlignment="1"/>
    <xf numFmtId="0" fontId="58" fillId="0" borderId="0" xfId="0" applyFont="1" applyAlignment="1">
      <alignment vertical="center"/>
    </xf>
    <xf numFmtId="0" fontId="59" fillId="0" borderId="0" xfId="0" applyFont="1" applyAlignment="1">
      <alignment vertical="center"/>
    </xf>
  </cellXfs>
  <cellStyles count="50">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一般_Sheet1" xfId="49"/>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styles" Target="styles.xml"/><Relationship Id="rId8" Type="http://schemas.openxmlformats.org/officeDocument/2006/relationships/sharedStrings" Target="sharedStrings.xml"/><Relationship Id="rId7" Type="http://schemas.openxmlformats.org/officeDocument/2006/relationships/theme" Target="theme/theme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10" Type="http://schemas.openxmlformats.org/officeDocument/2006/relationships/worksheet" Target="worksheets/sheet7.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oneCell">
    <xdr:from>
      <xdr:col>22</xdr:col>
      <xdr:colOff>104775</xdr:colOff>
      <xdr:row>17</xdr:row>
      <xdr:rowOff>133350</xdr:rowOff>
    </xdr:from>
    <xdr:to>
      <xdr:col>31</xdr:col>
      <xdr:colOff>279400</xdr:colOff>
      <xdr:row>30</xdr:row>
      <xdr:rowOff>50800</xdr:rowOff>
    </xdr:to>
    <xdr:pic>
      <xdr:nvPicPr>
        <xdr:cNvPr id="22544" name="图片 1" descr="FPDXMBT(NKR(9PT`JIB(OKE"/>
        <xdr:cNvPicPr>
          <a:picLocks noChangeAspect="1"/>
        </xdr:cNvPicPr>
      </xdr:nvPicPr>
      <xdr:blipFill>
        <a:blip r:embed="rId1"/>
        <a:stretch>
          <a:fillRect/>
        </a:stretch>
      </xdr:blipFill>
      <xdr:spPr>
        <a:xfrm>
          <a:off x="13546455" y="3357245"/>
          <a:ext cx="6346825" cy="2357755"/>
        </a:xfrm>
        <a:prstGeom prst="rect">
          <a:avLst/>
        </a:prstGeom>
        <a:noFill/>
        <a:ln w="9525">
          <a:noFill/>
          <a:prstDash val="solid"/>
        </a:ln>
      </xdr:spPr>
    </xdr:pic>
    <xdr:clientData/>
  </xdr:twoCellAnchor>
</xdr:wsDr>
</file>

<file path=xl/drawings/drawing2.xml><?xml version="1.0" encoding="utf-8"?>
<xdr:wsDr xmlns:xdr="http://schemas.openxmlformats.org/drawingml/2006/spreadsheetDrawing" xmlns:r="http://schemas.openxmlformats.org/officeDocument/2006/relationships" xmlns:a="http://schemas.openxmlformats.org/drawingml/2006/main">
  <xdr:twoCellAnchor editAs="oneCell">
    <xdr:from>
      <xdr:col>9</xdr:col>
      <xdr:colOff>114300</xdr:colOff>
      <xdr:row>0</xdr:row>
      <xdr:rowOff>20320</xdr:rowOff>
    </xdr:from>
    <xdr:to>
      <xdr:col>19</xdr:col>
      <xdr:colOff>561340</xdr:colOff>
      <xdr:row>49</xdr:row>
      <xdr:rowOff>186690</xdr:rowOff>
    </xdr:to>
    <xdr:pic>
      <xdr:nvPicPr>
        <xdr:cNvPr id="23568" name="图片 1" descr="MINM9TB(6DQB{[LH}I[D653"/>
        <xdr:cNvPicPr>
          <a:picLocks noChangeAspect="1"/>
        </xdr:cNvPicPr>
      </xdr:nvPicPr>
      <xdr:blipFill>
        <a:blip r:embed="rId1"/>
        <a:stretch>
          <a:fillRect/>
        </a:stretch>
      </xdr:blipFill>
      <xdr:spPr>
        <a:xfrm>
          <a:off x="10843260" y="20320"/>
          <a:ext cx="7305040" cy="10171430"/>
        </a:xfrm>
        <a:prstGeom prst="rect">
          <a:avLst/>
        </a:prstGeom>
        <a:noFill/>
        <a:ln w="9525">
          <a:noFill/>
          <a:prstDash val="solid"/>
        </a:ln>
      </xdr:spPr>
    </xdr:pic>
    <xdr:clientData/>
  </xdr:twoCellAnchor>
</xdr:wsDr>
</file>

<file path=xl/drawings/drawing3.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17780</xdr:colOff>
      <xdr:row>0</xdr:row>
      <xdr:rowOff>0</xdr:rowOff>
    </xdr:from>
    <xdr:to>
      <xdr:col>1</xdr:col>
      <xdr:colOff>821690</xdr:colOff>
      <xdr:row>2</xdr:row>
      <xdr:rowOff>212090</xdr:rowOff>
    </xdr:to>
    <xdr:pic>
      <xdr:nvPicPr>
        <xdr:cNvPr id="33797" name="image1"/>
        <xdr:cNvPicPr>
          <a:picLocks noChangeAspect="1"/>
        </xdr:cNvPicPr>
      </xdr:nvPicPr>
      <xdr:blipFill>
        <a:blip r:embed="rId1"/>
        <a:stretch>
          <a:fillRect/>
        </a:stretch>
      </xdr:blipFill>
      <xdr:spPr>
        <a:xfrm>
          <a:off x="17780" y="0"/>
          <a:ext cx="1253490" cy="1252220"/>
        </a:xfrm>
        <a:prstGeom prst="rect">
          <a:avLst/>
        </a:prstGeom>
        <a:noFill/>
        <a:ln w="9525">
          <a:noFill/>
          <a:prstDash val="solid"/>
        </a:ln>
      </xdr:spPr>
    </xdr:pic>
    <xdr:clientData/>
  </xdr:twoCellAnchor>
</xdr:wsDr>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3" Type="http://schemas.openxmlformats.org/officeDocument/2006/relationships/hyperlink" Target="http://www.hscode.net/IntegrateQueries/QueryYS/" TargetMode="External"/><Relationship Id="rId2" Type="http://schemas.openxmlformats.org/officeDocument/2006/relationships/hyperlink" Target="https://e-service.shciq.gov.cn/shesp/" TargetMode="Externa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hyperlink" Target="http://www.hscode.net/IntegrateQueries/QueryYS/" TargetMode="External"/><Relationship Id="rId2" Type="http://schemas.openxmlformats.org/officeDocument/2006/relationships/hyperlink" Target="https://e-service.shciq.gov.cn/shesp/" TargetMode="Externa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6.xml.rels><?xml version="1.0" encoding="UTF-8" standalone="yes"?>
<Relationships xmlns="http://schemas.openxmlformats.org/package/2006/relationships"><Relationship Id="rId3" Type="http://schemas.openxmlformats.org/officeDocument/2006/relationships/hyperlink" Target="mailto:tobias.fischer@qut.edu.au" TargetMode="External"/><Relationship Id="rId2" Type="http://schemas.openxmlformats.org/officeDocument/2006/relationships/vmlDrawing" Target="../drawings/vmlDrawing1.vml"/><Relationship Id="rId1"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0000"/>
    <pageSetUpPr fitToPage="1"/>
  </sheetPr>
  <dimension ref="A1:BY170"/>
  <sheetViews>
    <sheetView showZeros="0" view="pageBreakPreview" zoomScaleNormal="100" workbookViewId="0">
      <selection activeCell="B20" sqref="B20:C20"/>
    </sheetView>
  </sheetViews>
  <sheetFormatPr defaultColWidth="9" defaultRowHeight="15"/>
  <cols>
    <col min="1" max="1" width="6.2" style="52" customWidth="1"/>
    <col min="2" max="2" width="7.4" style="52" customWidth="1"/>
    <col min="3" max="3" width="6" style="52" customWidth="1"/>
    <col min="4" max="4" width="21" style="52" customWidth="1"/>
    <col min="5" max="5" width="10.9" style="52" customWidth="1"/>
    <col min="6" max="6" width="12.4" style="52" customWidth="1"/>
    <col min="7" max="7" width="11" style="52" customWidth="1"/>
    <col min="8" max="8" width="6.7" style="52" customWidth="1"/>
    <col min="9" max="9" width="7.9" style="189" customWidth="1"/>
    <col min="10" max="10" width="7.1" style="52" customWidth="1"/>
    <col min="11" max="11" width="7.6" style="52" customWidth="1"/>
    <col min="12" max="12" width="5.4" style="52" customWidth="1"/>
    <col min="13" max="13" width="5.2" style="52" customWidth="1"/>
    <col min="14" max="14" width="5.1" style="52" customWidth="1"/>
    <col min="15" max="15" width="7.2" style="52" customWidth="1"/>
    <col min="16" max="16" width="4.1" style="52" customWidth="1"/>
    <col min="17" max="17" width="6.3" style="52" customWidth="1"/>
    <col min="18" max="18" width="7.6" style="52" customWidth="1"/>
    <col min="19" max="19" width="8.5" style="52" customWidth="1"/>
    <col min="20" max="20" width="8.2" style="52" customWidth="1"/>
    <col min="21" max="21" width="7.7" style="52" customWidth="1"/>
    <col min="22" max="22" width="6.9" style="52" customWidth="1"/>
  </cols>
  <sheetData>
    <row r="1" ht="33" customHeight="1" spans="1:27">
      <c r="A1" s="190" t="s">
        <v>0</v>
      </c>
    </row>
    <row r="2" s="82" customFormat="1" ht="12.75" customHeight="1" spans="1:27">
      <c r="A2" s="191" t="s">
        <v>1</v>
      </c>
      <c r="C2" s="192"/>
      <c r="F2" s="193" t="s">
        <v>2</v>
      </c>
      <c r="G2" s="192"/>
      <c r="I2" s="191" t="s">
        <v>3</v>
      </c>
      <c r="J2" s="192" t="s">
        <v>4</v>
      </c>
      <c r="O2" s="194"/>
      <c r="P2" s="194"/>
      <c r="Q2" s="194"/>
      <c r="R2" s="194"/>
      <c r="S2" s="194"/>
    </row>
    <row r="3" s="82" customFormat="1" ht="12" customHeight="1" spans="1:27">
      <c r="A3" s="195" t="s">
        <v>5</v>
      </c>
      <c r="B3" s="196"/>
      <c r="C3" s="197"/>
      <c r="D3" s="198"/>
      <c r="E3" s="199" t="s">
        <v>6</v>
      </c>
      <c r="F3" s="200" t="s">
        <v>7</v>
      </c>
      <c r="G3" s="201" t="s">
        <v>8</v>
      </c>
      <c r="H3" s="197"/>
      <c r="I3" s="196"/>
      <c r="J3" s="198"/>
      <c r="K3" s="201" t="s">
        <v>9</v>
      </c>
      <c r="L3" s="197"/>
      <c r="M3" s="196"/>
      <c r="N3" s="198"/>
      <c r="O3" s="201" t="s">
        <v>10</v>
      </c>
      <c r="P3" s="202"/>
      <c r="Q3" s="196"/>
      <c r="R3" s="196"/>
      <c r="S3" s="203"/>
      <c r="U3" s="204" t="s">
        <v>11</v>
      </c>
      <c r="V3" s="205" t="s">
        <v>12</v>
      </c>
      <c r="W3" s="206"/>
      <c r="X3" s="206"/>
      <c r="Y3" s="206"/>
      <c r="Z3" s="206"/>
      <c r="AA3" s="207"/>
    </row>
    <row r="4" ht="15.5" spans="1:27">
      <c r="A4" s="208" t="s">
        <v>13</v>
      </c>
      <c r="B4" s="58"/>
      <c r="C4" s="58"/>
      <c r="D4" s="90"/>
      <c r="E4" s="209" t="s">
        <v>14</v>
      </c>
      <c r="F4" s="90"/>
      <c r="G4" s="210">
        <v>46325</v>
      </c>
      <c r="H4" s="58"/>
      <c r="I4" s="58"/>
      <c r="J4" s="211"/>
      <c r="K4" s="212" t="s">
        <v>15</v>
      </c>
      <c r="L4" s="58"/>
      <c r="M4" s="58"/>
      <c r="N4" s="90"/>
      <c r="O4" s="213"/>
      <c r="P4" s="58"/>
      <c r="Q4" s="58"/>
      <c r="R4" s="58"/>
      <c r="S4" s="214"/>
      <c r="U4" s="215" t="s">
        <v>16</v>
      </c>
      <c r="V4" s="216" t="str">
        <f>I12</f>
        <v>FOB</v>
      </c>
      <c r="W4" s="217" t="s">
        <v>17</v>
      </c>
      <c r="X4" s="218" t="s">
        <v>18</v>
      </c>
      <c r="Y4" s="217" t="s">
        <v>19</v>
      </c>
      <c r="Z4" s="218"/>
      <c r="AA4" s="219"/>
    </row>
    <row r="5" s="82" customFormat="1" ht="12" customHeight="1" spans="1:27">
      <c r="A5" s="220" t="s">
        <v>20</v>
      </c>
      <c r="B5" s="47"/>
      <c r="C5" s="221" t="s">
        <v>21</v>
      </c>
      <c r="D5" s="222"/>
      <c r="E5" s="223" t="s">
        <v>22</v>
      </c>
      <c r="F5" s="224" t="s">
        <v>23</v>
      </c>
      <c r="G5" s="225" t="s">
        <v>24</v>
      </c>
      <c r="H5" s="47"/>
      <c r="I5" s="47"/>
      <c r="J5" s="48"/>
      <c r="K5" s="223" t="s">
        <v>25</v>
      </c>
      <c r="L5" s="222"/>
      <c r="M5" s="47"/>
      <c r="N5" s="48"/>
      <c r="O5" s="226"/>
      <c r="P5" s="47"/>
      <c r="Q5" s="227"/>
      <c r="R5" s="47"/>
      <c r="S5" s="228"/>
      <c r="U5" s="229" t="s">
        <v>26</v>
      </c>
      <c r="V5" s="230" t="str">
        <f>A4</f>
        <v>深圳留形科技有限公司</v>
      </c>
      <c r="W5" s="230"/>
      <c r="X5" s="230"/>
      <c r="Y5" s="230"/>
      <c r="Z5" s="230"/>
      <c r="AA5" s="219"/>
    </row>
    <row r="6" spans="1:27">
      <c r="A6" s="208" t="s">
        <v>27</v>
      </c>
      <c r="B6" s="58"/>
      <c r="C6" s="58"/>
      <c r="D6" s="90"/>
      <c r="E6" s="209" t="s">
        <v>28</v>
      </c>
      <c r="F6" s="90"/>
      <c r="G6" s="209"/>
      <c r="H6" s="58"/>
      <c r="I6" s="58"/>
      <c r="J6" s="90"/>
      <c r="K6" s="209"/>
      <c r="L6" s="58"/>
      <c r="M6" s="58"/>
      <c r="N6" s="90"/>
      <c r="O6" s="213"/>
      <c r="P6" s="58"/>
      <c r="Q6" s="58"/>
      <c r="R6" s="58"/>
      <c r="S6" s="214"/>
      <c r="U6" s="229" t="s">
        <v>29</v>
      </c>
      <c r="V6" s="230" t="s">
        <v>30</v>
      </c>
      <c r="W6" s="230"/>
      <c r="X6" s="230"/>
      <c r="Y6" s="230"/>
      <c r="Z6" s="230"/>
      <c r="AA6" s="219"/>
    </row>
    <row r="7" s="82" customFormat="1" ht="12" customHeight="1" spans="1:27">
      <c r="A7" s="231" t="s">
        <v>31</v>
      </c>
      <c r="B7" s="47"/>
      <c r="C7" s="222">
        <f>C3</f>
        <v>0</v>
      </c>
      <c r="D7" s="48"/>
      <c r="E7" s="223" t="s">
        <v>32</v>
      </c>
      <c r="F7" s="224" t="s">
        <v>23</v>
      </c>
      <c r="G7" s="223" t="s">
        <v>33</v>
      </c>
      <c r="H7" s="222" t="s">
        <v>23</v>
      </c>
      <c r="I7" s="47"/>
      <c r="J7" s="48"/>
      <c r="K7" s="223" t="s">
        <v>34</v>
      </c>
      <c r="L7" s="222"/>
      <c r="M7" s="47"/>
      <c r="N7" s="48"/>
      <c r="O7" s="223"/>
      <c r="P7" s="227"/>
      <c r="Q7" s="47"/>
      <c r="R7" s="47"/>
      <c r="S7" s="228"/>
      <c r="U7" s="215" t="s">
        <v>35</v>
      </c>
      <c r="V7" s="218" t="s">
        <v>36</v>
      </c>
      <c r="W7" s="218"/>
      <c r="X7" s="218" t="s">
        <v>37</v>
      </c>
      <c r="Y7" s="218" t="s">
        <v>38</v>
      </c>
      <c r="Z7" s="230"/>
      <c r="AA7" s="219"/>
    </row>
    <row r="8" spans="1:27">
      <c r="A8" s="208" t="str">
        <f>A4</f>
        <v>深圳留形科技有限公司</v>
      </c>
      <c r="B8" s="58"/>
      <c r="C8" s="58"/>
      <c r="D8" s="90"/>
      <c r="E8" s="232" t="s">
        <v>39</v>
      </c>
      <c r="F8" s="90"/>
      <c r="G8" s="233" t="s">
        <v>40</v>
      </c>
      <c r="H8" s="58"/>
      <c r="I8" s="58"/>
      <c r="J8" s="211"/>
      <c r="K8" s="209"/>
      <c r="L8" s="58"/>
      <c r="M8" s="58"/>
      <c r="N8" s="90"/>
      <c r="O8" s="213"/>
      <c r="P8" s="58"/>
      <c r="Q8" s="58"/>
      <c r="R8" s="58"/>
      <c r="S8" s="214"/>
      <c r="U8" s="229" t="s">
        <v>41</v>
      </c>
      <c r="V8" s="230" t="str">
        <f>A6</f>
        <v>Manifold Tech Limited</v>
      </c>
      <c r="W8" s="230"/>
      <c r="X8" s="230"/>
      <c r="Y8" s="230"/>
      <c r="Z8" s="230"/>
      <c r="AA8" s="219"/>
    </row>
    <row r="9" s="82" customFormat="1" ht="12" customHeight="1" spans="1:27">
      <c r="A9" s="234" t="s">
        <v>42</v>
      </c>
      <c r="B9" s="47"/>
      <c r="C9" s="222"/>
      <c r="D9" s="48"/>
      <c r="E9" s="223" t="s">
        <v>43</v>
      </c>
      <c r="F9" s="224" t="s">
        <v>23</v>
      </c>
      <c r="G9" s="223" t="s">
        <v>44</v>
      </c>
      <c r="H9" s="235" t="s">
        <v>23</v>
      </c>
      <c r="I9" s="47"/>
      <c r="J9" s="47"/>
      <c r="K9" s="223" t="s">
        <v>45</v>
      </c>
      <c r="L9" s="222" t="s">
        <v>23</v>
      </c>
      <c r="M9" s="47"/>
      <c r="N9" s="48"/>
      <c r="O9" s="236" t="s">
        <v>46</v>
      </c>
      <c r="P9" s="227" t="s">
        <v>47</v>
      </c>
      <c r="Q9" s="47"/>
      <c r="R9" s="47"/>
      <c r="S9" s="228"/>
      <c r="U9" s="215" t="s">
        <v>48</v>
      </c>
      <c r="V9" s="218" t="s">
        <v>49</v>
      </c>
      <c r="W9" s="218"/>
      <c r="X9" s="218"/>
      <c r="Y9" s="218"/>
      <c r="Z9" s="230"/>
      <c r="AA9" s="219"/>
    </row>
    <row r="10" spans="1:27">
      <c r="A10" s="208" t="s">
        <v>50</v>
      </c>
      <c r="B10" s="58"/>
      <c r="C10" s="58"/>
      <c r="D10" s="90"/>
      <c r="E10" s="237" t="s">
        <v>51</v>
      </c>
      <c r="F10" s="90"/>
      <c r="G10" s="238" t="s">
        <v>51</v>
      </c>
      <c r="H10" s="58"/>
      <c r="I10" s="58"/>
      <c r="J10" s="58"/>
      <c r="K10" s="209" t="s">
        <v>51</v>
      </c>
      <c r="L10" s="58"/>
      <c r="M10" s="58"/>
      <c r="N10" s="90"/>
      <c r="O10" s="213" t="s">
        <v>52</v>
      </c>
      <c r="P10" s="58"/>
      <c r="Q10" s="58"/>
      <c r="R10" s="58"/>
      <c r="S10" s="214"/>
      <c r="U10" s="229" t="s">
        <v>53</v>
      </c>
      <c r="V10" s="230" t="s">
        <v>54</v>
      </c>
      <c r="W10" s="230"/>
      <c r="X10" s="230" t="s">
        <v>55</v>
      </c>
      <c r="Y10" s="230" t="s">
        <v>56</v>
      </c>
      <c r="Z10" s="230"/>
      <c r="AA10" s="219"/>
    </row>
    <row r="11" s="82" customFormat="1" ht="12.75" customHeight="1" spans="1:27">
      <c r="A11" s="231" t="s">
        <v>57</v>
      </c>
      <c r="B11" s="47"/>
      <c r="C11" s="222" t="s">
        <v>23</v>
      </c>
      <c r="D11" s="48"/>
      <c r="E11" s="239" t="s">
        <v>58</v>
      </c>
      <c r="F11" s="240" t="s">
        <v>59</v>
      </c>
      <c r="G11" s="225" t="s">
        <v>60</v>
      </c>
      <c r="H11" s="48"/>
      <c r="I11" s="241" t="s">
        <v>61</v>
      </c>
      <c r="J11" s="221" t="s">
        <v>62</v>
      </c>
      <c r="K11" s="223" t="s">
        <v>63</v>
      </c>
      <c r="L11" s="222"/>
      <c r="M11" s="48"/>
      <c r="N11" s="221" t="s">
        <v>64</v>
      </c>
      <c r="O11" s="222"/>
      <c r="P11" s="48"/>
      <c r="Q11" s="223" t="s">
        <v>65</v>
      </c>
      <c r="R11" s="242"/>
      <c r="S11" s="228"/>
      <c r="U11" s="243" t="s">
        <v>66</v>
      </c>
      <c r="V11" s="244"/>
      <c r="W11" s="244"/>
      <c r="X11" s="244" t="s">
        <v>67</v>
      </c>
      <c r="Y11" s="244"/>
      <c r="Z11" s="244"/>
      <c r="AA11" s="245"/>
    </row>
    <row r="12" spans="1:27">
      <c r="A12" s="208" t="s">
        <v>68</v>
      </c>
      <c r="B12" s="58"/>
      <c r="C12" s="58"/>
      <c r="D12" s="90"/>
      <c r="E12" s="232"/>
      <c r="F12" s="232"/>
      <c r="G12" s="246"/>
      <c r="H12" s="247"/>
      <c r="I12" s="233" t="s">
        <v>69</v>
      </c>
      <c r="J12" s="58"/>
      <c r="K12" s="232"/>
      <c r="L12" s="58"/>
      <c r="M12" s="90"/>
      <c r="N12" s="248"/>
      <c r="O12" s="58"/>
      <c r="P12" s="90"/>
      <c r="Q12" s="249"/>
      <c r="R12" s="58"/>
      <c r="S12" s="214"/>
      <c r="T12" s="250" t="s">
        <v>70</v>
      </c>
      <c r="W12" s="82" t="s">
        <v>71</v>
      </c>
      <c r="X12" s="82"/>
      <c r="Y12" s="82"/>
      <c r="Z12" s="82"/>
      <c r="AA12" s="82"/>
    </row>
    <row r="13" s="82" customFormat="1" ht="12" customHeight="1" spans="1:27">
      <c r="A13" s="251" t="s">
        <v>72</v>
      </c>
      <c r="B13" s="83"/>
      <c r="C13" s="252"/>
      <c r="D13" s="47"/>
      <c r="E13" s="47"/>
      <c r="F13" s="47"/>
      <c r="G13" s="47"/>
      <c r="H13" s="47"/>
      <c r="I13" s="47"/>
      <c r="J13" s="47"/>
      <c r="K13" s="47"/>
      <c r="L13" s="47"/>
      <c r="M13" s="47"/>
      <c r="N13" s="47"/>
      <c r="O13" s="47"/>
      <c r="P13" s="47"/>
      <c r="Q13" s="47"/>
      <c r="R13" s="47"/>
      <c r="S13" s="228"/>
      <c r="T13" s="250" t="s">
        <v>73</v>
      </c>
      <c r="W13" s="82" t="s">
        <v>74</v>
      </c>
    </row>
    <row r="14" s="82" customFormat="1" ht="12.75" customHeight="1" spans="1:27">
      <c r="A14" s="253" t="s">
        <v>75</v>
      </c>
      <c r="B14" s="254"/>
      <c r="C14" s="254"/>
      <c r="D14" s="255" t="str">
        <f>A6</f>
        <v>Manifold Tech Limited</v>
      </c>
      <c r="E14" s="254"/>
      <c r="F14" s="254"/>
      <c r="G14" s="254"/>
      <c r="H14" s="254"/>
      <c r="I14" s="254"/>
      <c r="J14" s="254"/>
      <c r="K14" s="254"/>
      <c r="L14" s="254"/>
      <c r="M14" s="254"/>
      <c r="N14" s="254"/>
      <c r="O14" s="254"/>
      <c r="P14" s="254"/>
      <c r="Q14" s="254"/>
      <c r="R14" s="254"/>
      <c r="S14" s="256"/>
      <c r="T14" s="250" t="s">
        <v>76</v>
      </c>
      <c r="W14" s="82" t="s">
        <v>77</v>
      </c>
    </row>
    <row r="15" s="82" customFormat="1" ht="14.4" customHeight="1" spans="1:27">
      <c r="A15" s="257" t="s">
        <v>78</v>
      </c>
      <c r="C15" s="258"/>
      <c r="S15" s="259"/>
      <c r="T15" s="73" t="s">
        <v>79</v>
      </c>
      <c r="W15" s="185" t="s">
        <v>80</v>
      </c>
    </row>
    <row r="16" ht="16.35" customHeight="1" spans="1:27">
      <c r="A16" s="257" t="s">
        <v>81</v>
      </c>
      <c r="B16" s="260"/>
      <c r="S16" s="259"/>
      <c r="T16" s="73" t="s">
        <v>82</v>
      </c>
      <c r="W16" s="184" t="s">
        <v>83</v>
      </c>
    </row>
    <row r="17" ht="16.35" customHeight="1" spans="1:23">
      <c r="A17" s="261"/>
      <c r="L17" s="189" t="s">
        <v>84</v>
      </c>
      <c r="O17" s="258"/>
      <c r="S17" s="259"/>
      <c r="T17" s="262" t="s">
        <v>85</v>
      </c>
      <c r="U17" s="263"/>
      <c r="V17" s="264"/>
      <c r="W17" s="265" t="s">
        <v>86</v>
      </c>
    </row>
    <row r="18" s="188" customFormat="1" ht="15.15" customHeight="1" spans="1:23">
      <c r="A18" s="266" t="s">
        <v>87</v>
      </c>
      <c r="B18" s="267"/>
      <c r="C18" s="268"/>
      <c r="D18" s="269" t="s">
        <v>88</v>
      </c>
      <c r="E18" s="268"/>
      <c r="F18" s="270" t="s">
        <v>89</v>
      </c>
      <c r="G18" s="271"/>
      <c r="H18" s="268"/>
      <c r="I18" s="269" t="s">
        <v>90</v>
      </c>
      <c r="J18" s="271"/>
      <c r="K18" s="272" t="s">
        <v>91</v>
      </c>
      <c r="L18" s="273" t="s">
        <v>92</v>
      </c>
      <c r="M18" s="271"/>
      <c r="N18" s="271"/>
      <c r="O18" s="271"/>
      <c r="P18" s="271"/>
      <c r="Q18" s="271"/>
      <c r="R18" s="271"/>
      <c r="S18" s="274"/>
      <c r="T18" s="275">
        <f>SUM(T20:T471)</f>
        <v>0</v>
      </c>
      <c r="U18" s="276">
        <f>SUM(U20:U471)</f>
        <v>0</v>
      </c>
      <c r="V18" s="276">
        <f>SUM(V20:V471)</f>
        <v>1</v>
      </c>
    </row>
    <row r="19" s="82" customFormat="1" ht="12" customHeight="1" spans="1:23">
      <c r="A19" s="277" t="s">
        <v>93</v>
      </c>
      <c r="B19" s="278" t="s">
        <v>94</v>
      </c>
      <c r="C19" s="58"/>
      <c r="D19" s="279" t="s">
        <v>95</v>
      </c>
      <c r="E19" s="58"/>
      <c r="F19" s="58"/>
      <c r="G19" s="279" t="s">
        <v>96</v>
      </c>
      <c r="H19" s="280"/>
      <c r="I19" s="278" t="s">
        <v>97</v>
      </c>
      <c r="J19" s="58"/>
      <c r="K19" s="279" t="s">
        <v>98</v>
      </c>
      <c r="L19" s="58"/>
      <c r="M19" s="279" t="s">
        <v>99</v>
      </c>
      <c r="N19" s="58"/>
      <c r="O19" s="58"/>
      <c r="P19" s="278" t="s">
        <v>100</v>
      </c>
      <c r="Q19" s="58"/>
      <c r="R19" s="58"/>
      <c r="S19" s="281" t="s">
        <v>101</v>
      </c>
      <c r="T19" s="282" t="s">
        <v>102</v>
      </c>
      <c r="U19" s="283" t="s">
        <v>103</v>
      </c>
      <c r="V19" s="283" t="s">
        <v>58</v>
      </c>
    </row>
    <row r="20" spans="1:23">
      <c r="A20" s="284">
        <v>1</v>
      </c>
      <c r="B20" s="285" t="str">
        <v>9031499000</v>
      </c>
      <c r="D20" s="286" t="str">
        <f>IFERROR(INDEX('产品主数据'!$C$2:$C$5,MATCH($B20,'产品主数据'!$A$2:$A$5,0)),"")</f>
      </c>
      <c r="E20" s="287"/>
      <c r="F20" s="287"/>
      <c r="G20" s="288">
        <v>1</v>
      </c>
      <c r="H20" s="289" t="str">
        <f>IFERROR(INDEX('产品主数据'!$F$2:$F$5,MATCH($B20,'产品主数据'!$A$2:$A$5,0)),"")</f>
      </c>
      <c r="I20" s="290">
        <f>IFERROR(INDEX('产品主数据'!$G$2:$G$5,MATCH($B20,'产品主数据'!$A$2:$A$5,0)),"")</f>
      </c>
      <c r="J20" s="291"/>
      <c r="K20" s="288" t="str">
        <v>中国</v>
      </c>
      <c r="M20" s="288" t="str">
        <v>中国香港</v>
      </c>
      <c r="P20" s="288" t="str">
        <v>中国深圳</v>
      </c>
      <c r="S20" s="292" t="str">
        <v>照章征税</v>
      </c>
      <c r="T20" s="293">
        <f>IFERROR(INDEX('产品主数据'!$I$2:$I$5,MATCH($B20,'产品主数据'!$A$2:$A$5,0))*$G20,"")</f>
      </c>
      <c r="U20" s="294">
        <f>IFERROR(INDEX('产品主数据'!$H$2:$H$5,MATCH($B20,'产品主数据'!$A$2:$A$5,0))*$G20,"")</f>
      </c>
      <c r="V20" s="294">
        <f>$G20</f>
      </c>
    </row>
    <row r="21" spans="1:23">
      <c r="A21" s="284"/>
      <c r="B21" s="285"/>
      <c r="D21" s="295"/>
      <c r="G21" s="289"/>
      <c r="H21" s="289"/>
      <c r="I21" s="296"/>
      <c r="K21" s="288"/>
      <c r="M21" s="288"/>
      <c r="P21" s="288"/>
      <c r="S21" s="292"/>
      <c r="T21" s="135"/>
      <c r="U21" s="297"/>
      <c r="V21" s="297"/>
    </row>
    <row r="22" spans="1:23">
      <c r="A22" s="298"/>
      <c r="B22" s="299"/>
      <c r="C22" s="58"/>
      <c r="D22" s="58"/>
      <c r="E22" s="58"/>
      <c r="F22" s="58"/>
      <c r="G22" s="300"/>
      <c r="H22" s="300"/>
      <c r="I22" s="301"/>
      <c r="J22" s="58"/>
      <c r="K22" s="302"/>
      <c r="L22" s="58"/>
      <c r="M22" s="302"/>
      <c r="N22" s="58"/>
      <c r="O22" s="58"/>
      <c r="P22" s="302"/>
      <c r="Q22" s="58"/>
      <c r="R22" s="58"/>
      <c r="S22" s="211"/>
      <c r="T22" s="90"/>
      <c r="U22" s="303"/>
      <c r="V22" s="303"/>
    </row>
    <row r="23" spans="1:23">
      <c r="A23" s="284">
        <v>2</v>
      </c>
      <c r="B23" s="285"/>
      <c r="D23" s="288" t="str">
        <f>IFERROR(INDEX('产品主数据'!$C$2:$C$5,MATCH($B23,'产品主数据'!$A$2:$A$5,0)),"")</f>
      </c>
      <c r="G23" s="289"/>
      <c r="H23" s="289" t="str">
        <f>IFERROR(INDEX('产品主数据'!$F$2:$F$5,MATCH($B23,'产品主数据'!$A$2:$A$5,0)),"")</f>
      </c>
      <c r="I23" s="296">
        <f>IFERROR(INDEX('产品主数据'!$G$2:$G$5,MATCH($B23,'产品主数据'!$A$2:$A$5,0)),"")</f>
      </c>
      <c r="K23" s="288" t="str">
        <v>中国</v>
      </c>
      <c r="M23" s="288" t="str">
        <v>中国香港</v>
      </c>
      <c r="P23" s="288" t="str">
        <v>中国深圳</v>
      </c>
      <c r="S23" s="292" t="str">
        <v>照章征税</v>
      </c>
      <c r="T23" s="293">
        <f>IFERROR(INDEX('产品主数据'!$I$2:$I$5,MATCH($B23,'产品主数据'!$A$2:$A$5,0))*$G23,"")</f>
      </c>
      <c r="U23" s="294">
        <f>IFERROR(INDEX('产品主数据'!$H$2:$H$5,MATCH($B23,'产品主数据'!$A$2:$A$5,0))*$G23,"")</f>
      </c>
      <c r="V23" s="294">
        <f>$G23</f>
      </c>
    </row>
    <row r="24" spans="1:23">
      <c r="A24" s="284"/>
      <c r="B24" s="285"/>
      <c r="D24" s="295"/>
      <c r="G24" s="289"/>
      <c r="H24" s="289"/>
      <c r="I24" s="296"/>
      <c r="K24" s="288"/>
      <c r="M24" s="288"/>
      <c r="P24" s="288"/>
      <c r="S24" s="292"/>
      <c r="T24" s="135"/>
      <c r="U24" s="297"/>
      <c r="V24" s="297"/>
    </row>
    <row r="25" spans="1:23">
      <c r="A25" s="298"/>
      <c r="B25" s="299"/>
      <c r="C25" s="58"/>
      <c r="D25" s="58"/>
      <c r="E25" s="58"/>
      <c r="F25" s="58"/>
      <c r="G25" s="300"/>
      <c r="H25" s="300"/>
      <c r="I25" s="301"/>
      <c r="J25" s="58"/>
      <c r="K25" s="302"/>
      <c r="L25" s="58"/>
      <c r="M25" s="302"/>
      <c r="N25" s="58"/>
      <c r="O25" s="58"/>
      <c r="P25" s="302"/>
      <c r="Q25" s="58"/>
      <c r="R25" s="58"/>
      <c r="S25" s="211"/>
      <c r="T25" s="90"/>
      <c r="U25" s="303"/>
      <c r="V25" s="303"/>
    </row>
    <row r="26" spans="1:23">
      <c r="A26" s="284">
        <v>3</v>
      </c>
      <c r="B26" s="285"/>
      <c r="D26" s="288" t="str">
        <f>IFERROR(INDEX('产品主数据'!$C$2:$C$5,MATCH($B26,'产品主数据'!$A$2:$A$5,0)),"")</f>
      </c>
      <c r="G26" s="289"/>
      <c r="H26" s="289" t="str">
        <f>IFERROR(INDEX('产品主数据'!$F$2:$F$5,MATCH($B26,'产品主数据'!$A$2:$A$5,0)),"")</f>
      </c>
      <c r="I26" s="296">
        <f>IFERROR(INDEX('产品主数据'!$G$2:$G$5,MATCH($B26,'产品主数据'!$A$2:$A$5,0)),"")</f>
      </c>
      <c r="K26" s="288" t="str">
        <v>中国</v>
      </c>
      <c r="M26" s="288" t="str">
        <v>中国香港</v>
      </c>
      <c r="P26" s="288" t="str">
        <v>中国深圳</v>
      </c>
      <c r="S26" s="292" t="str">
        <v>照章征税</v>
      </c>
      <c r="T26" s="293">
        <f>IFERROR(INDEX('产品主数据'!$I$2:$I$5,MATCH($B26,'产品主数据'!$A$2:$A$5,0))*$G26,"")</f>
      </c>
      <c r="U26" s="294">
        <f>IFERROR(INDEX('产品主数据'!$H$2:$H$5,MATCH($B26,'产品主数据'!$A$2:$A$5,0))*$G26,"")</f>
      </c>
      <c r="V26" s="294">
        <f>$G26</f>
      </c>
    </row>
    <row r="27" spans="1:23">
      <c r="A27" s="284"/>
      <c r="B27" s="285"/>
      <c r="D27" s="295"/>
      <c r="G27" s="289"/>
      <c r="H27" s="289"/>
      <c r="I27" s="296"/>
      <c r="K27" s="288"/>
      <c r="M27" s="288"/>
      <c r="P27" s="288"/>
      <c r="S27" s="292"/>
      <c r="T27" s="135"/>
      <c r="U27" s="297"/>
      <c r="V27" s="297"/>
    </row>
    <row r="28" spans="1:23">
      <c r="A28" s="298"/>
      <c r="B28" s="299"/>
      <c r="C28" s="58"/>
      <c r="D28" s="58"/>
      <c r="E28" s="58"/>
      <c r="F28" s="58"/>
      <c r="G28" s="300"/>
      <c r="H28" s="300"/>
      <c r="I28" s="301"/>
      <c r="J28" s="58"/>
      <c r="K28" s="302"/>
      <c r="L28" s="58"/>
      <c r="M28" s="302"/>
      <c r="N28" s="58"/>
      <c r="O28" s="58"/>
      <c r="P28" s="302"/>
      <c r="Q28" s="58"/>
      <c r="R28" s="58"/>
      <c r="S28" s="211"/>
      <c r="T28" s="90"/>
      <c r="U28" s="303"/>
      <c r="V28" s="303"/>
    </row>
    <row r="29" spans="1:23">
      <c r="A29" s="284">
        <v>4</v>
      </c>
      <c r="B29" s="285"/>
      <c r="D29" s="288" t="str">
        <f>IFERROR(INDEX('产品主数据'!$C$2:$C$5,MATCH($B29,'产品主数据'!$A$2:$A$5,0)),"")</f>
      </c>
      <c r="G29" s="289"/>
      <c r="H29" s="289" t="str">
        <f>IFERROR(INDEX('产品主数据'!$F$2:$F$5,MATCH($B29,'产品主数据'!$A$2:$A$5,0)),"")</f>
      </c>
      <c r="I29" s="296">
        <f>IFERROR(INDEX('产品主数据'!$G$2:$G$5,MATCH($B29,'产品主数据'!$A$2:$A$5,0)),"")</f>
      </c>
      <c r="K29" s="288" t="str">
        <v>中国</v>
      </c>
      <c r="M29" s="288" t="str">
        <v>中国香港</v>
      </c>
      <c r="P29" s="288" t="str">
        <v>中国深圳</v>
      </c>
      <c r="S29" s="292" t="str">
        <v>照章征税</v>
      </c>
      <c r="T29" s="293">
        <f>IFERROR(INDEX('产品主数据'!$I$2:$I$5,MATCH($B29,'产品主数据'!$A$2:$A$5,0))*$G29,"")</f>
      </c>
      <c r="U29" s="294">
        <f>IFERROR(INDEX('产品主数据'!$H$2:$H$5,MATCH($B29,'产品主数据'!$A$2:$A$5,0))*$G29,"")</f>
      </c>
      <c r="V29" s="294">
        <f>$G29</f>
      </c>
    </row>
    <row r="30" spans="1:23">
      <c r="A30" s="284"/>
      <c r="B30" s="285"/>
      <c r="D30" s="295"/>
      <c r="G30" s="289"/>
      <c r="H30" s="289"/>
      <c r="I30" s="296"/>
      <c r="K30" s="288"/>
      <c r="M30" s="288"/>
      <c r="P30" s="288"/>
      <c r="S30" s="292"/>
      <c r="T30" s="135"/>
      <c r="U30" s="297"/>
      <c r="V30" s="297"/>
    </row>
    <row r="31" spans="1:23">
      <c r="A31" s="298"/>
      <c r="B31" s="299"/>
      <c r="C31" s="58"/>
      <c r="D31" s="58"/>
      <c r="E31" s="58"/>
      <c r="F31" s="58"/>
      <c r="G31" s="300"/>
      <c r="H31" s="300"/>
      <c r="I31" s="301"/>
      <c r="J31" s="58"/>
      <c r="K31" s="302"/>
      <c r="L31" s="58"/>
      <c r="M31" s="302"/>
      <c r="N31" s="58"/>
      <c r="O31" s="58"/>
      <c r="P31" s="302"/>
      <c r="Q31" s="58"/>
      <c r="R31" s="58"/>
      <c r="S31" s="211"/>
      <c r="T31" s="90"/>
      <c r="U31" s="303"/>
      <c r="V31" s="303"/>
    </row>
    <row r="32" spans="1:23">
      <c r="A32" s="284">
        <v>5</v>
      </c>
      <c r="B32" s="285"/>
      <c r="D32" s="288" t="str">
        <f>IFERROR(INDEX('产品主数据'!$C$2:$C$5,MATCH($B32,'产品主数据'!$A$2:$A$5,0)),"")</f>
      </c>
      <c r="G32" s="289"/>
      <c r="H32" s="289" t="str">
        <f>IFERROR(INDEX('产品主数据'!$F$2:$F$5,MATCH($B32,'产品主数据'!$A$2:$A$5,0)),"")</f>
      </c>
      <c r="I32" s="296">
        <f>IFERROR(INDEX('产品主数据'!$G$2:$G$5,MATCH($B32,'产品主数据'!$A$2:$A$5,0)),"")</f>
      </c>
      <c r="K32" s="288" t="str">
        <v>中国</v>
      </c>
      <c r="M32" s="288" t="str">
        <v>中国香港</v>
      </c>
      <c r="P32" s="288" t="str">
        <v>中国深圳</v>
      </c>
      <c r="S32" s="292" t="str">
        <v>照章征税</v>
      </c>
      <c r="T32" s="293">
        <f>IFERROR(INDEX('产品主数据'!$I$2:$I$5,MATCH($B32,'产品主数据'!$A$2:$A$5,0))*$G32,"")</f>
      </c>
      <c r="U32" s="294">
        <f>IFERROR(INDEX('产品主数据'!$H$2:$H$5,MATCH($B32,'产品主数据'!$A$2:$A$5,0))*$G32,"")</f>
      </c>
      <c r="V32" s="294">
        <f>$G32</f>
      </c>
    </row>
    <row r="33" spans="1:22">
      <c r="A33" s="284"/>
      <c r="B33" s="285"/>
      <c r="D33" s="295"/>
      <c r="G33" s="289"/>
      <c r="H33" s="289"/>
      <c r="I33" s="296"/>
      <c r="K33" s="288"/>
      <c r="M33" s="288"/>
      <c r="P33" s="288"/>
      <c r="S33" s="292"/>
      <c r="T33" s="135"/>
      <c r="U33" s="297"/>
      <c r="V33" s="297"/>
    </row>
    <row r="34" spans="1:22">
      <c r="A34" s="298"/>
      <c r="B34" s="299"/>
      <c r="C34" s="58"/>
      <c r="D34" s="58"/>
      <c r="E34" s="58"/>
      <c r="F34" s="58"/>
      <c r="G34" s="300"/>
      <c r="H34" s="300"/>
      <c r="I34" s="301"/>
      <c r="J34" s="58"/>
      <c r="K34" s="302"/>
      <c r="L34" s="58"/>
      <c r="M34" s="302"/>
      <c r="N34" s="58"/>
      <c r="O34" s="58"/>
      <c r="P34" s="302"/>
      <c r="Q34" s="58"/>
      <c r="R34" s="58"/>
      <c r="S34" s="211"/>
      <c r="T34" s="90"/>
      <c r="U34" s="303"/>
      <c r="V34" s="303"/>
    </row>
    <row r="35" spans="1:22">
      <c r="A35" s="284">
        <v>6</v>
      </c>
      <c r="B35" s="285"/>
      <c r="D35" s="288" t="str">
        <f>IFERROR(INDEX('产品主数据'!$C$2:$C$5,MATCH($B35,'产品主数据'!$A$2:$A$5,0)),"")</f>
      </c>
      <c r="G35" s="289"/>
      <c r="H35" s="289" t="str">
        <f>IFERROR(INDEX('产品主数据'!$F$2:$F$5,MATCH($B35,'产品主数据'!$A$2:$A$5,0)),"")</f>
      </c>
      <c r="I35" s="296">
        <f>IFERROR(INDEX('产品主数据'!$G$2:$G$5,MATCH($B35,'产品主数据'!$A$2:$A$5,0)),"")</f>
      </c>
      <c r="K35" s="288" t="str">
        <v>中国</v>
      </c>
      <c r="M35" s="288" t="str">
        <v>中国香港</v>
      </c>
      <c r="P35" s="288" t="str">
        <v>中国深圳</v>
      </c>
      <c r="S35" s="292" t="str">
        <v>照章征税</v>
      </c>
      <c r="T35" s="293">
        <f>IFERROR(INDEX('产品主数据'!$I$2:$I$5,MATCH($B35,'产品主数据'!$A$2:$A$5,0))*$G35,"")</f>
      </c>
      <c r="U35" s="294">
        <f>IFERROR(INDEX('产品主数据'!$H$2:$H$5,MATCH($B35,'产品主数据'!$A$2:$A$5,0))*$G35,"")</f>
      </c>
      <c r="V35" s="294">
        <f>$G35</f>
      </c>
    </row>
    <row r="36" spans="1:22">
      <c r="A36" s="284"/>
      <c r="B36" s="285"/>
      <c r="D36" s="295"/>
      <c r="G36" s="289"/>
      <c r="H36" s="289"/>
      <c r="I36" s="296"/>
      <c r="K36" s="288"/>
      <c r="M36" s="288"/>
      <c r="P36" s="288"/>
      <c r="S36" s="292"/>
      <c r="T36" s="135"/>
      <c r="U36" s="297"/>
      <c r="V36" s="297"/>
    </row>
    <row r="37" spans="1:22">
      <c r="A37" s="298"/>
      <c r="B37" s="299"/>
      <c r="C37" s="58"/>
      <c r="D37" s="58"/>
      <c r="E37" s="58"/>
      <c r="F37" s="58"/>
      <c r="G37" s="300"/>
      <c r="H37" s="300"/>
      <c r="I37" s="301"/>
      <c r="J37" s="58"/>
      <c r="K37" s="302"/>
      <c r="L37" s="58"/>
      <c r="M37" s="302"/>
      <c r="N37" s="58"/>
      <c r="O37" s="58"/>
      <c r="P37" s="302"/>
      <c r="Q37" s="58"/>
      <c r="R37" s="58"/>
      <c r="S37" s="211"/>
      <c r="T37" s="90"/>
      <c r="U37" s="303"/>
      <c r="V37" s="303"/>
    </row>
    <row r="38" spans="1:22">
      <c r="A38" s="284">
        <v>7</v>
      </c>
      <c r="B38" s="285"/>
      <c r="D38" s="288" t="str">
        <f>IFERROR(INDEX('产品主数据'!$C$2:$C$5,MATCH($B38,'产品主数据'!$A$2:$A$5,0)),"")</f>
      </c>
      <c r="G38" s="289"/>
      <c r="H38" s="289" t="str">
        <f>IFERROR(INDEX('产品主数据'!$F$2:$F$5,MATCH($B38,'产品主数据'!$A$2:$A$5,0)),"")</f>
      </c>
      <c r="I38" s="296">
        <f>IFERROR(INDEX('产品主数据'!$G$2:$G$5,MATCH($B38,'产品主数据'!$A$2:$A$5,0)),"")</f>
      </c>
      <c r="K38" s="288" t="str">
        <v>中国</v>
      </c>
      <c r="M38" s="288" t="str">
        <v>中国香港</v>
      </c>
      <c r="P38" s="288" t="str">
        <v>中国深圳</v>
      </c>
      <c r="S38" s="292" t="str">
        <v>照章征税</v>
      </c>
      <c r="T38" s="293">
        <f>IFERROR(INDEX('产品主数据'!$I$2:$I$5,MATCH($B38,'产品主数据'!$A$2:$A$5,0))*$G38,"")</f>
      </c>
      <c r="U38" s="294">
        <f>IFERROR(INDEX('产品主数据'!$H$2:$H$5,MATCH($B38,'产品主数据'!$A$2:$A$5,0))*$G38,"")</f>
      </c>
      <c r="V38" s="294">
        <f>$G38</f>
      </c>
    </row>
    <row r="39" spans="1:22">
      <c r="A39" s="284"/>
      <c r="B39" s="285"/>
      <c r="D39" s="295"/>
      <c r="G39" s="289"/>
      <c r="H39" s="289"/>
      <c r="I39" s="296"/>
      <c r="K39" s="288"/>
      <c r="M39" s="288"/>
      <c r="P39" s="288"/>
      <c r="S39" s="292"/>
      <c r="T39" s="135"/>
      <c r="U39" s="297"/>
      <c r="V39" s="297"/>
    </row>
    <row r="40" spans="1:22">
      <c r="A40" s="298"/>
      <c r="B40" s="299"/>
      <c r="C40" s="58"/>
      <c r="D40" s="58"/>
      <c r="E40" s="58"/>
      <c r="F40" s="58"/>
      <c r="G40" s="300"/>
      <c r="H40" s="300"/>
      <c r="I40" s="301"/>
      <c r="J40" s="58"/>
      <c r="K40" s="302"/>
      <c r="L40" s="58"/>
      <c r="M40" s="302"/>
      <c r="N40" s="58"/>
      <c r="O40" s="58"/>
      <c r="P40" s="302"/>
      <c r="Q40" s="58"/>
      <c r="R40" s="58"/>
      <c r="S40" s="211"/>
      <c r="T40" s="90"/>
      <c r="U40" s="303"/>
      <c r="V40" s="303"/>
    </row>
    <row r="41" spans="1:22">
      <c r="A41" s="284">
        <v>8</v>
      </c>
      <c r="B41" s="285"/>
      <c r="D41" s="288" t="str">
        <f>IFERROR(INDEX('产品主数据'!$C$2:$C$5,MATCH($B41,'产品主数据'!$A$2:$A$5,0)),"")</f>
      </c>
      <c r="G41" s="289"/>
      <c r="H41" s="289" t="str">
        <f>IFERROR(INDEX('产品主数据'!$F$2:$F$5,MATCH($B41,'产品主数据'!$A$2:$A$5,0)),"")</f>
      </c>
      <c r="I41" s="296">
        <f>IFERROR(INDEX('产品主数据'!$G$2:$G$5,MATCH($B41,'产品主数据'!$A$2:$A$5,0)),"")</f>
      </c>
      <c r="K41" s="288" t="str">
        <v>中国</v>
      </c>
      <c r="M41" s="288" t="str">
        <v>中国香港</v>
      </c>
      <c r="P41" s="288" t="str">
        <v>中国深圳</v>
      </c>
      <c r="S41" s="292" t="str">
        <v>照章征税</v>
      </c>
      <c r="T41" s="293">
        <f>IFERROR(INDEX('产品主数据'!$I$2:$I$5,MATCH($B41,'产品主数据'!$A$2:$A$5,0))*$G41,"")</f>
      </c>
      <c r="U41" s="294">
        <f>IFERROR(INDEX('产品主数据'!$H$2:$H$5,MATCH($B41,'产品主数据'!$A$2:$A$5,0))*$G41,"")</f>
      </c>
      <c r="V41" s="294">
        <f>$G41</f>
      </c>
    </row>
    <row r="42" spans="1:22">
      <c r="A42" s="284"/>
      <c r="B42" s="285"/>
      <c r="D42" s="295"/>
      <c r="G42" s="289"/>
      <c r="H42" s="289"/>
      <c r="I42" s="296"/>
      <c r="K42" s="288"/>
      <c r="M42" s="288"/>
      <c r="P42" s="288"/>
      <c r="S42" s="292"/>
      <c r="T42" s="135"/>
      <c r="U42" s="297"/>
      <c r="V42" s="297"/>
    </row>
    <row r="43" spans="1:22">
      <c r="A43" s="298"/>
      <c r="B43" s="299"/>
      <c r="C43" s="58"/>
      <c r="D43" s="58"/>
      <c r="E43" s="58"/>
      <c r="F43" s="58"/>
      <c r="G43" s="300"/>
      <c r="H43" s="300"/>
      <c r="I43" s="301"/>
      <c r="J43" s="58"/>
      <c r="K43" s="302"/>
      <c r="L43" s="58"/>
      <c r="M43" s="302"/>
      <c r="N43" s="58"/>
      <c r="O43" s="58"/>
      <c r="P43" s="302"/>
      <c r="Q43" s="58"/>
      <c r="R43" s="58"/>
      <c r="S43" s="211"/>
      <c r="T43" s="90"/>
      <c r="U43" s="303"/>
      <c r="V43" s="303"/>
    </row>
    <row r="44" spans="1:22">
      <c r="A44" s="284">
        <v>9</v>
      </c>
      <c r="B44" s="285"/>
      <c r="D44" s="288" t="str">
        <f>IFERROR(INDEX('产品主数据'!$C$2:$C$5,MATCH($B44,'产品主数据'!$A$2:$A$5,0)),"")</f>
      </c>
      <c r="G44" s="289"/>
      <c r="H44" s="289" t="str">
        <f>IFERROR(INDEX('产品主数据'!$F$2:$F$5,MATCH($B44,'产品主数据'!$A$2:$A$5,0)),"")</f>
      </c>
      <c r="I44" s="296">
        <f>IFERROR(INDEX('产品主数据'!$G$2:$G$5,MATCH($B44,'产品主数据'!$A$2:$A$5,0)),"")</f>
      </c>
      <c r="K44" s="288" t="str">
        <v>中国</v>
      </c>
      <c r="M44" s="288" t="str">
        <v>中国香港</v>
      </c>
      <c r="P44" s="288" t="str">
        <v>中国深圳</v>
      </c>
      <c r="S44" s="292" t="str">
        <v>照章征税</v>
      </c>
      <c r="T44" s="293">
        <f>IFERROR(INDEX('产品主数据'!$I$2:$I$5,MATCH($B44,'产品主数据'!$A$2:$A$5,0))*$G44,"")</f>
      </c>
      <c r="U44" s="294">
        <f>IFERROR(INDEX('产品主数据'!$H$2:$H$5,MATCH($B44,'产品主数据'!$A$2:$A$5,0))*$G44,"")</f>
      </c>
      <c r="V44" s="294">
        <f>$G44</f>
      </c>
    </row>
    <row r="45" spans="1:22">
      <c r="A45" s="284"/>
      <c r="B45" s="285"/>
      <c r="D45" s="295"/>
      <c r="G45" s="289"/>
      <c r="H45" s="289"/>
      <c r="I45" s="296"/>
      <c r="K45" s="288"/>
      <c r="M45" s="288"/>
      <c r="P45" s="288"/>
      <c r="S45" s="292"/>
      <c r="T45" s="135"/>
      <c r="U45" s="297"/>
      <c r="V45" s="297"/>
    </row>
    <row r="46" spans="1:22">
      <c r="A46" s="298"/>
      <c r="B46" s="299"/>
      <c r="C46" s="58"/>
      <c r="D46" s="58"/>
      <c r="E46" s="58"/>
      <c r="F46" s="58"/>
      <c r="G46" s="300"/>
      <c r="H46" s="300"/>
      <c r="I46" s="301"/>
      <c r="J46" s="58"/>
      <c r="K46" s="302"/>
      <c r="L46" s="58"/>
      <c r="M46" s="302"/>
      <c r="N46" s="58"/>
      <c r="O46" s="58"/>
      <c r="P46" s="302"/>
      <c r="Q46" s="58"/>
      <c r="R46" s="58"/>
      <c r="S46" s="211"/>
      <c r="T46" s="90"/>
      <c r="U46" s="303"/>
      <c r="V46" s="303"/>
    </row>
    <row r="47" spans="1:22">
      <c r="A47" s="284">
        <v>10</v>
      </c>
      <c r="B47" s="285"/>
      <c r="D47" s="288" t="str">
        <f>IFERROR(INDEX('产品主数据'!$C$2:$C$5,MATCH($B47,'产品主数据'!$A$2:$A$5,0)),"")</f>
      </c>
      <c r="G47" s="289"/>
      <c r="H47" s="289" t="str">
        <f>IFERROR(INDEX('产品主数据'!$F$2:$F$5,MATCH($B47,'产品主数据'!$A$2:$A$5,0)),"")</f>
      </c>
      <c r="I47" s="296">
        <f>IFERROR(INDEX('产品主数据'!$G$2:$G$5,MATCH($B47,'产品主数据'!$A$2:$A$5,0)),"")</f>
      </c>
      <c r="K47" s="288" t="str">
        <v>中国</v>
      </c>
      <c r="M47" s="288" t="str">
        <v>中国香港</v>
      </c>
      <c r="P47" s="288" t="str">
        <v>中国深圳</v>
      </c>
      <c r="S47" s="292" t="str">
        <v>照章征税</v>
      </c>
      <c r="T47" s="293">
        <f>IFERROR(INDEX('产品主数据'!$I$2:$I$5,MATCH($B47,'产品主数据'!$A$2:$A$5,0))*$G47,"")</f>
      </c>
      <c r="U47" s="294">
        <f>IFERROR(INDEX('产品主数据'!$H$2:$H$5,MATCH($B47,'产品主数据'!$A$2:$A$5,0))*$G47,"")</f>
      </c>
      <c r="V47" s="294">
        <f>$G47</f>
      </c>
    </row>
    <row r="48" spans="1:22">
      <c r="A48" s="284"/>
      <c r="B48" s="285"/>
      <c r="D48" s="295"/>
      <c r="G48" s="289"/>
      <c r="H48" s="289"/>
      <c r="I48" s="296"/>
      <c r="K48" s="288"/>
      <c r="M48" s="288"/>
      <c r="P48" s="288"/>
      <c r="S48" s="292"/>
      <c r="T48" s="135"/>
      <c r="U48" s="297"/>
      <c r="V48" s="297"/>
    </row>
    <row r="49" spans="1:44">
      <c r="A49" s="298"/>
      <c r="B49" s="299"/>
      <c r="C49" s="58"/>
      <c r="D49" s="58"/>
      <c r="E49" s="58"/>
      <c r="F49" s="58"/>
      <c r="G49" s="300"/>
      <c r="H49" s="300"/>
      <c r="I49" s="301"/>
      <c r="J49" s="58"/>
      <c r="K49" s="302"/>
      <c r="L49" s="58"/>
      <c r="M49" s="302"/>
      <c r="N49" s="58"/>
      <c r="O49" s="58"/>
      <c r="P49" s="302"/>
      <c r="Q49" s="58"/>
      <c r="R49" s="58"/>
      <c r="S49" s="211"/>
      <c r="T49" s="90"/>
      <c r="U49" s="303"/>
      <c r="V49" s="303"/>
    </row>
    <row r="50" spans="1:44">
      <c r="A50" s="284">
        <v>11</v>
      </c>
      <c r="B50" s="285"/>
      <c r="D50" s="288" t="str">
        <f>IFERROR(INDEX('产品主数据'!$C$2:$C$5,MATCH($B50,'产品主数据'!$A$2:$A$5,0)),"")</f>
      </c>
      <c r="G50" s="289"/>
      <c r="H50" s="289" t="str">
        <f>IFERROR(INDEX('产品主数据'!$F$2:$F$5,MATCH($B50,'产品主数据'!$A$2:$A$5,0)),"")</f>
      </c>
      <c r="I50" s="296">
        <f>IFERROR(INDEX('产品主数据'!$G$2:$G$5,MATCH($B50,'产品主数据'!$A$2:$A$5,0)),"")</f>
      </c>
      <c r="K50" s="288" t="str">
        <v>中国</v>
      </c>
      <c r="M50" s="288" t="str">
        <v>中国香港</v>
      </c>
      <c r="P50" s="288" t="str">
        <v>中国深圳</v>
      </c>
      <c r="S50" s="292" t="str">
        <v>照章征税</v>
      </c>
      <c r="T50" s="293">
        <f>IFERROR(INDEX('产品主数据'!$I$2:$I$5,MATCH($B50,'产品主数据'!$A$2:$A$5,0))*$G50,"")</f>
      </c>
      <c r="U50" s="294">
        <f>IFERROR(INDEX('产品主数据'!$H$2:$H$5,MATCH($B50,'产品主数据'!$A$2:$A$5,0))*$G50,"")</f>
      </c>
      <c r="V50" s="294">
        <f>$G50</f>
      </c>
    </row>
    <row r="51" spans="1:44">
      <c r="A51" s="284"/>
      <c r="B51" s="285"/>
      <c r="D51" s="295"/>
      <c r="G51" s="289"/>
      <c r="H51" s="289"/>
      <c r="I51" s="296"/>
      <c r="K51" s="288"/>
      <c r="M51" s="288"/>
      <c r="P51" s="288"/>
      <c r="S51" s="292"/>
      <c r="T51" s="135"/>
      <c r="U51" s="297"/>
      <c r="V51" s="297"/>
    </row>
    <row r="52" spans="1:44">
      <c r="A52" s="298"/>
      <c r="B52" s="299"/>
      <c r="C52" s="58"/>
      <c r="D52" s="58"/>
      <c r="E52" s="58"/>
      <c r="F52" s="58"/>
      <c r="G52" s="300"/>
      <c r="H52" s="300"/>
      <c r="I52" s="301"/>
      <c r="J52" s="58"/>
      <c r="K52" s="302"/>
      <c r="L52" s="58"/>
      <c r="M52" s="302"/>
      <c r="N52" s="58"/>
      <c r="O52" s="58"/>
      <c r="P52" s="302"/>
      <c r="Q52" s="58"/>
      <c r="R52" s="58"/>
      <c r="S52" s="211"/>
      <c r="T52" s="90"/>
      <c r="U52" s="303"/>
      <c r="V52" s="303"/>
    </row>
    <row r="53" spans="1:44">
      <c r="A53" s="284">
        <v>12</v>
      </c>
      <c r="B53" s="285"/>
      <c r="D53" s="288" t="str">
        <f>IFERROR(INDEX('产品主数据'!$C$2:$C$5,MATCH($B53,'产品主数据'!$A$2:$A$5,0)),"")</f>
      </c>
      <c r="G53" s="289"/>
      <c r="H53" s="289" t="str">
        <f>IFERROR(INDEX('产品主数据'!$F$2:$F$5,MATCH($B53,'产品主数据'!$A$2:$A$5,0)),"")</f>
      </c>
      <c r="I53" s="296">
        <f>IFERROR(INDEX('产品主数据'!$G$2:$G$5,MATCH($B53,'产品主数据'!$A$2:$A$5,0)),"")</f>
      </c>
      <c r="K53" s="288" t="str">
        <v>中国</v>
      </c>
      <c r="M53" s="288" t="str">
        <v>中国香港</v>
      </c>
      <c r="P53" s="288" t="str">
        <v>中国深圳</v>
      </c>
      <c r="S53" s="292" t="str">
        <v>照章征税</v>
      </c>
      <c r="T53" s="293">
        <f>IFERROR(INDEX('产品主数据'!$I$2:$I$5,MATCH($B53,'产品主数据'!$A$2:$A$5,0))*$G53,"")</f>
      </c>
      <c r="U53" s="294">
        <f>IFERROR(INDEX('产品主数据'!$H$2:$H$5,MATCH($B53,'产品主数据'!$A$2:$A$5,0))*$G53,"")</f>
      </c>
      <c r="V53" s="294">
        <f>$G53</f>
      </c>
    </row>
    <row r="54" spans="1:44">
      <c r="A54" s="284"/>
      <c r="B54" s="285"/>
      <c r="D54" s="295"/>
      <c r="G54" s="289"/>
      <c r="H54" s="289"/>
      <c r="I54" s="296"/>
      <c r="K54" s="288"/>
      <c r="M54" s="288"/>
      <c r="P54" s="288"/>
      <c r="S54" s="292"/>
      <c r="T54" s="135"/>
      <c r="U54" s="297"/>
      <c r="V54" s="297"/>
      <c r="AR54" s="304"/>
    </row>
    <row r="55" spans="1:44">
      <c r="A55" s="298"/>
      <c r="B55" s="299"/>
      <c r="C55" s="58"/>
      <c r="D55" s="58"/>
      <c r="E55" s="58"/>
      <c r="F55" s="58"/>
      <c r="G55" s="300"/>
      <c r="H55" s="300"/>
      <c r="I55" s="301"/>
      <c r="J55" s="58"/>
      <c r="K55" s="302"/>
      <c r="L55" s="58"/>
      <c r="M55" s="302"/>
      <c r="N55" s="58"/>
      <c r="O55" s="58"/>
      <c r="P55" s="302"/>
      <c r="Q55" s="58"/>
      <c r="R55" s="58"/>
      <c r="S55" s="211"/>
      <c r="T55" s="90"/>
      <c r="U55" s="303"/>
      <c r="V55" s="303"/>
    </row>
    <row r="56" spans="1:44">
      <c r="A56" s="284">
        <v>13</v>
      </c>
      <c r="B56" s="285"/>
      <c r="D56" s="288" t="str">
        <f>IFERROR(INDEX('产品主数据'!$C$2:$C$5,MATCH($B56,'产品主数据'!$A$2:$A$5,0)),"")</f>
      </c>
      <c r="G56" s="289"/>
      <c r="H56" s="289" t="str">
        <f>IFERROR(INDEX('产品主数据'!$F$2:$F$5,MATCH($B56,'产品主数据'!$A$2:$A$5,0)),"")</f>
      </c>
      <c r="I56" s="296">
        <f>IFERROR(INDEX('产品主数据'!$G$2:$G$5,MATCH($B56,'产品主数据'!$A$2:$A$5,0)),"")</f>
      </c>
      <c r="K56" s="288" t="str">
        <v>中国</v>
      </c>
      <c r="M56" s="288" t="str">
        <v>中国香港</v>
      </c>
      <c r="P56" s="288" t="str">
        <v>中国深圳</v>
      </c>
      <c r="S56" s="292" t="str">
        <v>照章征税</v>
      </c>
      <c r="T56" s="293">
        <f>IFERROR(INDEX('产品主数据'!$I$2:$I$5,MATCH($B56,'产品主数据'!$A$2:$A$5,0))*$G56,"")</f>
      </c>
      <c r="U56" s="294">
        <f>IFERROR(INDEX('产品主数据'!$H$2:$H$5,MATCH($B56,'产品主数据'!$A$2:$A$5,0))*$G56,"")</f>
      </c>
      <c r="V56" s="294">
        <f>$G56</f>
      </c>
    </row>
    <row r="57" spans="1:44">
      <c r="A57" s="284"/>
      <c r="B57" s="285"/>
      <c r="D57" s="295"/>
      <c r="G57" s="289"/>
      <c r="H57" s="289"/>
      <c r="I57" s="296"/>
      <c r="K57" s="288"/>
      <c r="M57" s="288"/>
      <c r="P57" s="288"/>
      <c r="S57" s="292"/>
      <c r="T57" s="135"/>
      <c r="U57" s="297"/>
      <c r="V57" s="297"/>
    </row>
    <row r="58" spans="1:44">
      <c r="A58" s="298"/>
      <c r="B58" s="299"/>
      <c r="C58" s="58"/>
      <c r="D58" s="58"/>
      <c r="E58" s="58"/>
      <c r="F58" s="58"/>
      <c r="G58" s="300"/>
      <c r="H58" s="300"/>
      <c r="I58" s="301"/>
      <c r="J58" s="58"/>
      <c r="K58" s="302"/>
      <c r="L58" s="58"/>
      <c r="M58" s="302"/>
      <c r="N58" s="58"/>
      <c r="O58" s="58"/>
      <c r="P58" s="302"/>
      <c r="Q58" s="58"/>
      <c r="R58" s="58"/>
      <c r="S58" s="211"/>
      <c r="T58" s="90"/>
      <c r="U58" s="303"/>
      <c r="V58" s="303"/>
    </row>
    <row r="59" spans="1:44">
      <c r="A59" s="284">
        <v>14</v>
      </c>
      <c r="B59" s="285"/>
      <c r="D59" s="288" t="str">
        <f>IFERROR(INDEX('产品主数据'!$C$2:$C$5,MATCH($B59,'产品主数据'!$A$2:$A$5,0)),"")</f>
      </c>
      <c r="G59" s="289"/>
      <c r="H59" s="289" t="str">
        <f>IFERROR(INDEX('产品主数据'!$F$2:$F$5,MATCH($B59,'产品主数据'!$A$2:$A$5,0)),"")</f>
      </c>
      <c r="I59" s="296">
        <f>IFERROR(INDEX('产品主数据'!$G$2:$G$5,MATCH($B59,'产品主数据'!$A$2:$A$5,0)),"")</f>
      </c>
      <c r="K59" s="288" t="str">
        <v>中国</v>
      </c>
      <c r="M59" s="288" t="str">
        <v>中国香港</v>
      </c>
      <c r="P59" s="288" t="str">
        <v>中国深圳</v>
      </c>
      <c r="S59" s="292" t="str">
        <v>照章征税</v>
      </c>
      <c r="T59" s="293">
        <f>IFERROR(INDEX('产品主数据'!$I$2:$I$5,MATCH($B59,'产品主数据'!$A$2:$A$5,0))*$G59,"")</f>
      </c>
      <c r="U59" s="294">
        <f>IFERROR(INDEX('产品主数据'!$H$2:$H$5,MATCH($B59,'产品主数据'!$A$2:$A$5,0))*$G59,"")</f>
      </c>
      <c r="V59" s="294">
        <f>$G59</f>
      </c>
    </row>
    <row r="60" spans="1:44">
      <c r="A60" s="284"/>
      <c r="B60" s="285"/>
      <c r="D60" s="295"/>
      <c r="G60" s="289"/>
      <c r="H60" s="289"/>
      <c r="I60" s="296"/>
      <c r="K60" s="288"/>
      <c r="M60" s="288"/>
      <c r="P60" s="288"/>
      <c r="S60" s="292"/>
      <c r="T60" s="135"/>
      <c r="U60" s="297"/>
      <c r="V60" s="297"/>
    </row>
    <row r="61" spans="1:44">
      <c r="A61" s="298"/>
      <c r="B61" s="299"/>
      <c r="C61" s="58"/>
      <c r="D61" s="58"/>
      <c r="E61" s="58"/>
      <c r="F61" s="58"/>
      <c r="G61" s="300"/>
      <c r="H61" s="300"/>
      <c r="I61" s="301"/>
      <c r="J61" s="58"/>
      <c r="K61" s="302"/>
      <c r="L61" s="58"/>
      <c r="M61" s="302"/>
      <c r="N61" s="58"/>
      <c r="O61" s="58"/>
      <c r="P61" s="302"/>
      <c r="Q61" s="58"/>
      <c r="R61" s="58"/>
      <c r="S61" s="211"/>
      <c r="T61" s="90"/>
      <c r="U61" s="303"/>
      <c r="V61" s="303"/>
    </row>
    <row r="62" spans="1:44">
      <c r="A62" s="284">
        <v>15</v>
      </c>
      <c r="B62" s="285"/>
      <c r="D62" s="288" t="str">
        <f>IFERROR(INDEX('产品主数据'!$C$2:$C$5,MATCH($B62,'产品主数据'!$A$2:$A$5,0)),"")</f>
      </c>
      <c r="G62" s="289"/>
      <c r="H62" s="289" t="str">
        <f>IFERROR(INDEX('产品主数据'!$F$2:$F$5,MATCH($B62,'产品主数据'!$A$2:$A$5,0)),"")</f>
      </c>
      <c r="I62" s="296">
        <f>IFERROR(INDEX('产品主数据'!$G$2:$G$5,MATCH($B62,'产品主数据'!$A$2:$A$5,0)),"")</f>
      </c>
      <c r="K62" s="288" t="str">
        <v>中国</v>
      </c>
      <c r="M62" s="288" t="str">
        <v>中国香港</v>
      </c>
      <c r="P62" s="288" t="str">
        <v>中国深圳</v>
      </c>
      <c r="S62" s="292" t="str">
        <v>照章征税</v>
      </c>
      <c r="T62" s="293">
        <f>IFERROR(INDEX('产品主数据'!$I$2:$I$5,MATCH($B62,'产品主数据'!$A$2:$A$5,0))*$G62,"")</f>
      </c>
      <c r="U62" s="294">
        <f>IFERROR(INDEX('产品主数据'!$H$2:$H$5,MATCH($B62,'产品主数据'!$A$2:$A$5,0))*$G62,"")</f>
      </c>
      <c r="V62" s="294">
        <f>$G62</f>
      </c>
    </row>
    <row r="63" spans="1:44">
      <c r="A63" s="284"/>
      <c r="B63" s="285"/>
      <c r="D63" s="295"/>
      <c r="G63" s="289"/>
      <c r="H63" s="289"/>
      <c r="I63" s="296"/>
      <c r="K63" s="288"/>
      <c r="M63" s="288"/>
      <c r="P63" s="288"/>
      <c r="S63" s="292"/>
      <c r="T63" s="135"/>
      <c r="U63" s="297"/>
      <c r="V63" s="297"/>
    </row>
    <row r="64" spans="1:44">
      <c r="A64" s="298"/>
      <c r="B64" s="299"/>
      <c r="C64" s="58"/>
      <c r="D64" s="58"/>
      <c r="E64" s="58"/>
      <c r="F64" s="58"/>
      <c r="G64" s="300"/>
      <c r="H64" s="300"/>
      <c r="I64" s="301"/>
      <c r="J64" s="58"/>
      <c r="K64" s="302"/>
      <c r="L64" s="58"/>
      <c r="M64" s="302"/>
      <c r="N64" s="58"/>
      <c r="O64" s="58"/>
      <c r="P64" s="302"/>
      <c r="Q64" s="58"/>
      <c r="R64" s="58"/>
      <c r="S64" s="211"/>
      <c r="T64" s="90"/>
      <c r="U64" s="303"/>
      <c r="V64" s="303"/>
    </row>
    <row r="65" spans="1:22">
      <c r="A65" s="284">
        <v>16</v>
      </c>
      <c r="B65" s="285"/>
      <c r="D65" s="288" t="str">
        <f>IFERROR(INDEX('产品主数据'!$C$2:$C$5,MATCH($B65,'产品主数据'!$A$2:$A$5,0)),"")</f>
      </c>
      <c r="G65" s="289"/>
      <c r="H65" s="289" t="str">
        <f>IFERROR(INDEX('产品主数据'!$F$2:$F$5,MATCH($B65,'产品主数据'!$A$2:$A$5,0)),"")</f>
      </c>
      <c r="I65" s="296">
        <f>IFERROR(INDEX('产品主数据'!$G$2:$G$5,MATCH($B65,'产品主数据'!$A$2:$A$5,0)),"")</f>
      </c>
      <c r="K65" s="288" t="str">
        <v>中国</v>
      </c>
      <c r="M65" s="288" t="str">
        <v>中国香港</v>
      </c>
      <c r="P65" s="288" t="str">
        <v>中国深圳</v>
      </c>
      <c r="S65" s="292" t="str">
        <v>照章征税</v>
      </c>
      <c r="T65" s="293">
        <f>IFERROR(INDEX('产品主数据'!$I$2:$I$5,MATCH($B65,'产品主数据'!$A$2:$A$5,0))*$G65,"")</f>
      </c>
      <c r="U65" s="294">
        <f>IFERROR(INDEX('产品主数据'!$H$2:$H$5,MATCH($B65,'产品主数据'!$A$2:$A$5,0))*$G65,"")</f>
      </c>
      <c r="V65" s="294">
        <f>$G65</f>
      </c>
    </row>
    <row r="66" spans="1:22">
      <c r="A66" s="284"/>
      <c r="B66" s="285"/>
      <c r="D66" s="295"/>
      <c r="G66" s="289"/>
      <c r="H66" s="289"/>
      <c r="I66" s="296"/>
      <c r="K66" s="288"/>
      <c r="M66" s="288"/>
      <c r="P66" s="288"/>
      <c r="S66" s="292"/>
      <c r="T66" s="135"/>
      <c r="U66" s="297"/>
      <c r="V66" s="297"/>
    </row>
    <row r="67" spans="1:22">
      <c r="A67" s="298"/>
      <c r="B67" s="299"/>
      <c r="C67" s="58"/>
      <c r="D67" s="58"/>
      <c r="E67" s="58"/>
      <c r="F67" s="58"/>
      <c r="G67" s="300"/>
      <c r="H67" s="300"/>
      <c r="I67" s="301"/>
      <c r="J67" s="58"/>
      <c r="K67" s="302"/>
      <c r="L67" s="58"/>
      <c r="M67" s="302"/>
      <c r="N67" s="58"/>
      <c r="O67" s="58"/>
      <c r="P67" s="302"/>
      <c r="Q67" s="58"/>
      <c r="R67" s="58"/>
      <c r="S67" s="211"/>
      <c r="T67" s="90"/>
      <c r="U67" s="303"/>
      <c r="V67" s="303"/>
    </row>
    <row r="68" spans="1:22">
      <c r="A68" s="284">
        <v>17</v>
      </c>
      <c r="B68" s="285"/>
      <c r="D68" s="288" t="str">
        <f>IFERROR(INDEX('产品主数据'!$C$2:$C$5,MATCH($B68,'产品主数据'!$A$2:$A$5,0)),"")</f>
      </c>
      <c r="G68" s="289"/>
      <c r="H68" s="289" t="str">
        <f>IFERROR(INDEX('产品主数据'!$F$2:$F$5,MATCH($B68,'产品主数据'!$A$2:$A$5,0)),"")</f>
      </c>
      <c r="I68" s="296">
        <f>IFERROR(INDEX('产品主数据'!$G$2:$G$5,MATCH($B68,'产品主数据'!$A$2:$A$5,0)),"")</f>
      </c>
      <c r="K68" s="288" t="str">
        <v>中国</v>
      </c>
      <c r="M68" s="288" t="str">
        <v>中国香港</v>
      </c>
      <c r="P68" s="288" t="str">
        <v>中国深圳</v>
      </c>
      <c r="S68" s="292" t="str">
        <v>照章征税</v>
      </c>
      <c r="T68" s="293">
        <f>IFERROR(INDEX('产品主数据'!$I$2:$I$5,MATCH($B68,'产品主数据'!$A$2:$A$5,0))*$G68,"")</f>
      </c>
      <c r="U68" s="294">
        <f>IFERROR(INDEX('产品主数据'!$H$2:$H$5,MATCH($B68,'产品主数据'!$A$2:$A$5,0))*$G68,"")</f>
      </c>
      <c r="V68" s="294">
        <f>$G68</f>
      </c>
    </row>
    <row r="69" spans="1:22">
      <c r="A69" s="284"/>
      <c r="B69" s="285"/>
      <c r="D69" s="295"/>
      <c r="G69" s="289"/>
      <c r="H69" s="289"/>
      <c r="I69" s="296"/>
      <c r="K69" s="288"/>
      <c r="M69" s="288"/>
      <c r="P69" s="288"/>
      <c r="S69" s="292"/>
      <c r="T69" s="135"/>
      <c r="U69" s="297"/>
      <c r="V69" s="297"/>
    </row>
    <row r="70" spans="1:22">
      <c r="A70" s="298"/>
      <c r="B70" s="299"/>
      <c r="C70" s="58"/>
      <c r="D70" s="58"/>
      <c r="E70" s="58"/>
      <c r="F70" s="58"/>
      <c r="G70" s="300"/>
      <c r="H70" s="300"/>
      <c r="I70" s="301"/>
      <c r="J70" s="58"/>
      <c r="K70" s="302"/>
      <c r="L70" s="58"/>
      <c r="M70" s="302"/>
      <c r="N70" s="58"/>
      <c r="O70" s="58"/>
      <c r="P70" s="302"/>
      <c r="Q70" s="58"/>
      <c r="R70" s="58"/>
      <c r="S70" s="211"/>
      <c r="T70" s="90"/>
      <c r="U70" s="303"/>
      <c r="V70" s="303"/>
    </row>
    <row r="71" spans="1:22">
      <c r="A71" s="284">
        <v>18</v>
      </c>
      <c r="B71" s="285"/>
      <c r="D71" s="288" t="str">
        <f>IFERROR(INDEX('产品主数据'!$C$2:$C$5,MATCH($B71,'产品主数据'!$A$2:$A$5,0)),"")</f>
      </c>
      <c r="G71" s="289"/>
      <c r="H71" s="289" t="str">
        <f>IFERROR(INDEX('产品主数据'!$F$2:$F$5,MATCH($B71,'产品主数据'!$A$2:$A$5,0)),"")</f>
      </c>
      <c r="I71" s="296">
        <f>IFERROR(INDEX('产品主数据'!$G$2:$G$5,MATCH($B71,'产品主数据'!$A$2:$A$5,0)),"")</f>
      </c>
      <c r="K71" s="288" t="str">
        <v>中国</v>
      </c>
      <c r="M71" s="288" t="str">
        <v>中国香港</v>
      </c>
      <c r="P71" s="288" t="str">
        <v>中国深圳</v>
      </c>
      <c r="S71" s="292" t="str">
        <v>照章征税</v>
      </c>
      <c r="T71" s="293">
        <f>IFERROR(INDEX('产品主数据'!$I$2:$I$5,MATCH($B71,'产品主数据'!$A$2:$A$5,0))*$G71,"")</f>
      </c>
      <c r="U71" s="294">
        <f>IFERROR(INDEX('产品主数据'!$H$2:$H$5,MATCH($B71,'产品主数据'!$A$2:$A$5,0))*$G71,"")</f>
      </c>
      <c r="V71" s="294">
        <f>$G71</f>
      </c>
    </row>
    <row r="72" spans="1:22">
      <c r="A72" s="284"/>
      <c r="B72" s="285"/>
      <c r="D72" s="295"/>
      <c r="G72" s="289"/>
      <c r="H72" s="289"/>
      <c r="I72" s="296"/>
      <c r="K72" s="288"/>
      <c r="M72" s="288"/>
      <c r="P72" s="288"/>
      <c r="S72" s="292"/>
      <c r="T72" s="135"/>
      <c r="U72" s="297"/>
      <c r="V72" s="297"/>
    </row>
    <row r="73" spans="1:22">
      <c r="A73" s="298"/>
      <c r="B73" s="299"/>
      <c r="C73" s="58"/>
      <c r="D73" s="58"/>
      <c r="E73" s="58"/>
      <c r="F73" s="58"/>
      <c r="G73" s="300"/>
      <c r="H73" s="300"/>
      <c r="I73" s="301"/>
      <c r="J73" s="58"/>
      <c r="K73" s="302"/>
      <c r="L73" s="58"/>
      <c r="M73" s="302"/>
      <c r="N73" s="58"/>
      <c r="O73" s="58"/>
      <c r="P73" s="302"/>
      <c r="Q73" s="58"/>
      <c r="R73" s="58"/>
      <c r="S73" s="211"/>
      <c r="T73" s="90"/>
      <c r="U73" s="303"/>
      <c r="V73" s="303"/>
    </row>
    <row r="74" spans="1:22">
      <c r="A74" s="284">
        <v>19</v>
      </c>
      <c r="B74" s="285"/>
      <c r="D74" s="288" t="str">
        <f>IFERROR(INDEX('产品主数据'!$C$2:$C$5,MATCH($B74,'产品主数据'!$A$2:$A$5,0)),"")</f>
      </c>
      <c r="G74" s="289"/>
      <c r="H74" s="289" t="str">
        <f>IFERROR(INDEX('产品主数据'!$F$2:$F$5,MATCH($B74,'产品主数据'!$A$2:$A$5,0)),"")</f>
      </c>
      <c r="I74" s="296">
        <f>IFERROR(INDEX('产品主数据'!$G$2:$G$5,MATCH($B74,'产品主数据'!$A$2:$A$5,0)),"")</f>
      </c>
      <c r="K74" s="288" t="str">
        <v>中国</v>
      </c>
      <c r="M74" s="288" t="str">
        <v>中国香港</v>
      </c>
      <c r="P74" s="288" t="str">
        <v>中国深圳</v>
      </c>
      <c r="S74" s="292" t="str">
        <v>照章征税</v>
      </c>
      <c r="T74" s="293">
        <f>IFERROR(INDEX('产品主数据'!$I$2:$I$5,MATCH($B74,'产品主数据'!$A$2:$A$5,0))*$G74,"")</f>
      </c>
      <c r="U74" s="294">
        <f>IFERROR(INDEX('产品主数据'!$H$2:$H$5,MATCH($B74,'产品主数据'!$A$2:$A$5,0))*$G74,"")</f>
      </c>
      <c r="V74" s="294">
        <f>$G74</f>
      </c>
    </row>
    <row r="75" spans="1:22">
      <c r="A75" s="284"/>
      <c r="B75" s="285"/>
      <c r="D75" s="295"/>
      <c r="G75" s="289"/>
      <c r="H75" s="289"/>
      <c r="I75" s="296"/>
      <c r="K75" s="288"/>
      <c r="M75" s="288"/>
      <c r="P75" s="288"/>
      <c r="S75" s="292"/>
      <c r="T75" s="135"/>
      <c r="U75" s="297"/>
      <c r="V75" s="297"/>
    </row>
    <row r="76" spans="1:22">
      <c r="A76" s="298"/>
      <c r="B76" s="299"/>
      <c r="C76" s="58"/>
      <c r="D76" s="58"/>
      <c r="E76" s="58"/>
      <c r="F76" s="58"/>
      <c r="G76" s="300"/>
      <c r="H76" s="300"/>
      <c r="I76" s="301"/>
      <c r="J76" s="58"/>
      <c r="K76" s="302"/>
      <c r="L76" s="58"/>
      <c r="M76" s="302"/>
      <c r="N76" s="58"/>
      <c r="O76" s="58"/>
      <c r="P76" s="302"/>
      <c r="Q76" s="58"/>
      <c r="R76" s="58"/>
      <c r="S76" s="211"/>
      <c r="T76" s="90"/>
      <c r="U76" s="303"/>
      <c r="V76" s="303"/>
    </row>
    <row r="77" spans="1:22">
      <c r="A77" s="284">
        <v>20</v>
      </c>
      <c r="B77" s="285"/>
      <c r="D77" s="288" t="str">
        <f>IFERROR(INDEX('产品主数据'!$C$2:$C$5,MATCH($B77,'产品主数据'!$A$2:$A$5,0)),"")</f>
      </c>
      <c r="G77" s="289"/>
      <c r="H77" s="289" t="str">
        <f>IFERROR(INDEX('产品主数据'!$F$2:$F$5,MATCH($B77,'产品主数据'!$A$2:$A$5,0)),"")</f>
      </c>
      <c r="I77" s="296">
        <f>IFERROR(INDEX('产品主数据'!$G$2:$G$5,MATCH($B77,'产品主数据'!$A$2:$A$5,0)),"")</f>
      </c>
      <c r="K77" s="288" t="str">
        <v>中国</v>
      </c>
      <c r="M77" s="288" t="str">
        <v>中国香港</v>
      </c>
      <c r="P77" s="288" t="str">
        <v>中国深圳</v>
      </c>
      <c r="S77" s="292" t="str">
        <v>照章征税</v>
      </c>
      <c r="T77" s="293">
        <f>IFERROR(INDEX('产品主数据'!$I$2:$I$5,MATCH($B77,'产品主数据'!$A$2:$A$5,0))*$G77,"")</f>
      </c>
      <c r="U77" s="294">
        <f>IFERROR(INDEX('产品主数据'!$H$2:$H$5,MATCH($B77,'产品主数据'!$A$2:$A$5,0))*$G77,"")</f>
      </c>
      <c r="V77" s="294">
        <f>$G77</f>
      </c>
    </row>
    <row r="78" spans="1:22">
      <c r="A78" s="284"/>
      <c r="B78" s="285"/>
      <c r="D78" s="295"/>
      <c r="G78" s="289"/>
      <c r="H78" s="289"/>
      <c r="I78" s="296"/>
      <c r="K78" s="288"/>
      <c r="M78" s="288"/>
      <c r="P78" s="288"/>
      <c r="S78" s="292"/>
      <c r="T78" s="135"/>
      <c r="U78" s="297"/>
      <c r="V78" s="297"/>
    </row>
    <row r="79" spans="1:22">
      <c r="A79" s="298"/>
      <c r="B79" s="299"/>
      <c r="C79" s="58"/>
      <c r="D79" s="58"/>
      <c r="E79" s="58"/>
      <c r="F79" s="58"/>
      <c r="G79" s="300"/>
      <c r="H79" s="300"/>
      <c r="I79" s="301"/>
      <c r="J79" s="58"/>
      <c r="K79" s="302"/>
      <c r="L79" s="58"/>
      <c r="M79" s="302"/>
      <c r="N79" s="58"/>
      <c r="O79" s="58"/>
      <c r="P79" s="302"/>
      <c r="Q79" s="58"/>
      <c r="R79" s="58"/>
      <c r="S79" s="211"/>
      <c r="T79" s="90"/>
      <c r="U79" s="303"/>
      <c r="V79" s="303"/>
    </row>
    <row r="80" spans="1:22">
      <c r="A80" s="284">
        <v>21</v>
      </c>
      <c r="B80" s="285"/>
      <c r="D80" s="288" t="str">
        <f>IFERROR(INDEX('产品主数据'!$C$2:$C$5,MATCH($B80,'产品主数据'!$A$2:$A$5,0)),"")</f>
      </c>
      <c r="G80" s="289"/>
      <c r="H80" s="289" t="str">
        <f>IFERROR(INDEX('产品主数据'!$F$2:$F$5,MATCH($B80,'产品主数据'!$A$2:$A$5,0)),"")</f>
      </c>
      <c r="I80" s="296">
        <f>IFERROR(INDEX('产品主数据'!$G$2:$G$5,MATCH($B80,'产品主数据'!$A$2:$A$5,0)),"")</f>
      </c>
      <c r="K80" s="288" t="str">
        <v>中国</v>
      </c>
      <c r="M80" s="288" t="str">
        <v>中国香港</v>
      </c>
      <c r="P80" s="288" t="str">
        <v>中国深圳</v>
      </c>
      <c r="S80" s="292" t="str">
        <v>照章征税</v>
      </c>
      <c r="T80" s="293">
        <f>IFERROR(INDEX('产品主数据'!$I$2:$I$5,MATCH($B80,'产品主数据'!$A$2:$A$5,0))*$G80,"")</f>
      </c>
      <c r="U80" s="294">
        <f>IFERROR(INDEX('产品主数据'!$H$2:$H$5,MATCH($B80,'产品主数据'!$A$2:$A$5,0))*$G80,"")</f>
      </c>
      <c r="V80" s="294">
        <f>$G80</f>
      </c>
    </row>
    <row r="81" spans="1:22">
      <c r="A81" s="284"/>
      <c r="B81" s="285"/>
      <c r="D81" s="295"/>
      <c r="G81" s="289"/>
      <c r="H81" s="289"/>
      <c r="I81" s="296"/>
      <c r="K81" s="288"/>
      <c r="M81" s="288"/>
      <c r="P81" s="288"/>
      <c r="S81" s="292"/>
      <c r="T81" s="135"/>
      <c r="U81" s="297"/>
      <c r="V81" s="297"/>
    </row>
    <row r="82" spans="1:22">
      <c r="A82" s="298"/>
      <c r="B82" s="299"/>
      <c r="C82" s="58"/>
      <c r="D82" s="58"/>
      <c r="E82" s="58"/>
      <c r="F82" s="58"/>
      <c r="G82" s="300"/>
      <c r="H82" s="300"/>
      <c r="I82" s="301"/>
      <c r="J82" s="58"/>
      <c r="K82" s="302"/>
      <c r="L82" s="58"/>
      <c r="M82" s="302"/>
      <c r="N82" s="58"/>
      <c r="O82" s="58"/>
      <c r="P82" s="302"/>
      <c r="Q82" s="58"/>
      <c r="R82" s="58"/>
      <c r="S82" s="211"/>
      <c r="T82" s="90"/>
      <c r="U82" s="303"/>
      <c r="V82" s="303"/>
    </row>
    <row r="83" spans="1:22">
      <c r="A83" s="284">
        <v>22</v>
      </c>
      <c r="B83" s="285"/>
      <c r="D83" s="288" t="str">
        <f>IFERROR(INDEX('产品主数据'!$C$2:$C$5,MATCH($B83,'产品主数据'!$A$2:$A$5,0)),"")</f>
      </c>
      <c r="G83" s="289"/>
      <c r="H83" s="289" t="str">
        <f>IFERROR(INDEX('产品主数据'!$F$2:$F$5,MATCH($B83,'产品主数据'!$A$2:$A$5,0)),"")</f>
      </c>
      <c r="I83" s="296">
        <f>IFERROR(INDEX('产品主数据'!$G$2:$G$5,MATCH($B83,'产品主数据'!$A$2:$A$5,0)),"")</f>
      </c>
      <c r="K83" s="288" t="str">
        <v>中国</v>
      </c>
      <c r="M83" s="288" t="str">
        <v>中国香港</v>
      </c>
      <c r="P83" s="288" t="str">
        <v>中国深圳</v>
      </c>
      <c r="S83" s="292" t="str">
        <v>照章征税</v>
      </c>
      <c r="T83" s="293">
        <f>IFERROR(INDEX('产品主数据'!$I$2:$I$5,MATCH($B83,'产品主数据'!$A$2:$A$5,0))*$G83,"")</f>
      </c>
      <c r="U83" s="294">
        <f>IFERROR(INDEX('产品主数据'!$H$2:$H$5,MATCH($B83,'产品主数据'!$A$2:$A$5,0))*$G83,"")</f>
      </c>
      <c r="V83" s="294">
        <f>$G83</f>
      </c>
    </row>
    <row r="84" spans="1:22">
      <c r="A84" s="284"/>
      <c r="B84" s="285"/>
      <c r="D84" s="295"/>
      <c r="G84" s="289"/>
      <c r="H84" s="289"/>
      <c r="I84" s="296"/>
      <c r="K84" s="288"/>
      <c r="M84" s="288"/>
      <c r="P84" s="288"/>
      <c r="S84" s="292"/>
      <c r="T84" s="135"/>
      <c r="U84" s="297"/>
      <c r="V84" s="297"/>
    </row>
    <row r="85" spans="1:22">
      <c r="A85" s="298"/>
      <c r="B85" s="299"/>
      <c r="C85" s="58"/>
      <c r="D85" s="58"/>
      <c r="E85" s="58"/>
      <c r="F85" s="58"/>
      <c r="G85" s="300"/>
      <c r="H85" s="300"/>
      <c r="I85" s="301"/>
      <c r="J85" s="58"/>
      <c r="K85" s="302"/>
      <c r="L85" s="58"/>
      <c r="M85" s="302"/>
      <c r="N85" s="58"/>
      <c r="O85" s="58"/>
      <c r="P85" s="302"/>
      <c r="Q85" s="58"/>
      <c r="R85" s="58"/>
      <c r="S85" s="211"/>
      <c r="T85" s="90"/>
      <c r="U85" s="303"/>
      <c r="V85" s="303"/>
    </row>
    <row r="86" spans="1:22">
      <c r="A86" s="284">
        <v>23</v>
      </c>
      <c r="B86" s="285"/>
      <c r="D86" s="288" t="str">
        <f>IFERROR(INDEX('产品主数据'!$C$2:$C$5,MATCH($B86,'产品主数据'!$A$2:$A$5,0)),"")</f>
      </c>
      <c r="G86" s="289"/>
      <c r="H86" s="289" t="str">
        <f>IFERROR(INDEX('产品主数据'!$F$2:$F$5,MATCH($B86,'产品主数据'!$A$2:$A$5,0)),"")</f>
      </c>
      <c r="I86" s="296">
        <f>IFERROR(INDEX('产品主数据'!$G$2:$G$5,MATCH($B86,'产品主数据'!$A$2:$A$5,0)),"")</f>
      </c>
      <c r="K86" s="288" t="str">
        <v>中国</v>
      </c>
      <c r="M86" s="288" t="str">
        <v>中国香港</v>
      </c>
      <c r="P86" s="288" t="str">
        <v>中国深圳</v>
      </c>
      <c r="S86" s="292" t="str">
        <v>照章征税</v>
      </c>
      <c r="T86" s="293">
        <f>IFERROR(INDEX('产品主数据'!$I$2:$I$5,MATCH($B86,'产品主数据'!$A$2:$A$5,0))*$G86,"")</f>
      </c>
      <c r="U86" s="294">
        <f>IFERROR(INDEX('产品主数据'!$H$2:$H$5,MATCH($B86,'产品主数据'!$A$2:$A$5,0))*$G86,"")</f>
      </c>
      <c r="V86" s="294">
        <f>$G86</f>
      </c>
    </row>
    <row r="87" spans="1:22">
      <c r="A87" s="284"/>
      <c r="B87" s="285"/>
      <c r="D87" s="295"/>
      <c r="G87" s="289"/>
      <c r="H87" s="289"/>
      <c r="I87" s="296"/>
      <c r="K87" s="288"/>
      <c r="M87" s="288"/>
      <c r="P87" s="288"/>
      <c r="S87" s="292"/>
      <c r="T87" s="135"/>
      <c r="U87" s="297"/>
      <c r="V87" s="297"/>
    </row>
    <row r="88" spans="1:22">
      <c r="A88" s="298"/>
      <c r="B88" s="299"/>
      <c r="C88" s="58"/>
      <c r="D88" s="58"/>
      <c r="E88" s="58"/>
      <c r="F88" s="58"/>
      <c r="G88" s="300"/>
      <c r="H88" s="300"/>
      <c r="I88" s="301"/>
      <c r="J88" s="58"/>
      <c r="K88" s="302"/>
      <c r="L88" s="58"/>
      <c r="M88" s="302"/>
      <c r="N88" s="58"/>
      <c r="O88" s="58"/>
      <c r="P88" s="302"/>
      <c r="Q88" s="58"/>
      <c r="R88" s="58"/>
      <c r="S88" s="211"/>
      <c r="T88" s="90"/>
      <c r="U88" s="303"/>
      <c r="V88" s="303"/>
    </row>
    <row r="89" spans="1:22">
      <c r="A89" s="284">
        <v>24</v>
      </c>
      <c r="B89" s="285"/>
      <c r="D89" s="288" t="str">
        <f>IFERROR(INDEX('产品主数据'!$C$2:$C$5,MATCH($B89,'产品主数据'!$A$2:$A$5,0)),"")</f>
      </c>
      <c r="G89" s="289"/>
      <c r="H89" s="289" t="str">
        <f>IFERROR(INDEX('产品主数据'!$F$2:$F$5,MATCH($B89,'产品主数据'!$A$2:$A$5,0)),"")</f>
      </c>
      <c r="I89" s="296">
        <f>IFERROR(INDEX('产品主数据'!$G$2:$G$5,MATCH($B89,'产品主数据'!$A$2:$A$5,0)),"")</f>
      </c>
      <c r="K89" s="288" t="str">
        <v>中国</v>
      </c>
      <c r="M89" s="288" t="str">
        <v>中国香港</v>
      </c>
      <c r="P89" s="288" t="str">
        <v>中国深圳</v>
      </c>
      <c r="S89" s="292" t="str">
        <v>照章征税</v>
      </c>
      <c r="T89" s="293">
        <f>IFERROR(INDEX('产品主数据'!$I$2:$I$5,MATCH($B89,'产品主数据'!$A$2:$A$5,0))*$G89,"")</f>
      </c>
      <c r="U89" s="294">
        <f>IFERROR(INDEX('产品主数据'!$H$2:$H$5,MATCH($B89,'产品主数据'!$A$2:$A$5,0))*$G89,"")</f>
      </c>
      <c r="V89" s="294">
        <f>$G89</f>
      </c>
    </row>
    <row r="90" spans="1:22">
      <c r="A90" s="284"/>
      <c r="B90" s="285"/>
      <c r="D90" s="295"/>
      <c r="G90" s="289"/>
      <c r="H90" s="289"/>
      <c r="I90" s="296"/>
      <c r="K90" s="288"/>
      <c r="M90" s="288"/>
      <c r="P90" s="288"/>
      <c r="S90" s="292"/>
      <c r="T90" s="135"/>
      <c r="U90" s="297"/>
      <c r="V90" s="297"/>
    </row>
    <row r="91" spans="1:22">
      <c r="A91" s="298"/>
      <c r="B91" s="299"/>
      <c r="C91" s="58"/>
      <c r="D91" s="58"/>
      <c r="E91" s="58"/>
      <c r="F91" s="58"/>
      <c r="G91" s="300"/>
      <c r="H91" s="300"/>
      <c r="I91" s="301"/>
      <c r="J91" s="58"/>
      <c r="K91" s="302"/>
      <c r="L91" s="58"/>
      <c r="M91" s="302"/>
      <c r="N91" s="58"/>
      <c r="O91" s="58"/>
      <c r="P91" s="302"/>
      <c r="Q91" s="58"/>
      <c r="R91" s="58"/>
      <c r="S91" s="211"/>
      <c r="T91" s="90"/>
      <c r="U91" s="303"/>
      <c r="V91" s="303"/>
    </row>
    <row r="92" spans="1:22">
      <c r="A92" s="284">
        <v>25</v>
      </c>
      <c r="B92" s="285"/>
      <c r="D92" s="288" t="str">
        <f>IFERROR(INDEX('产品主数据'!$C$2:$C$5,MATCH($B92,'产品主数据'!$A$2:$A$5,0)),"")</f>
      </c>
      <c r="G92" s="289"/>
      <c r="H92" s="289" t="str">
        <f>IFERROR(INDEX('产品主数据'!$F$2:$F$5,MATCH($B92,'产品主数据'!$A$2:$A$5,0)),"")</f>
      </c>
      <c r="I92" s="296">
        <f>IFERROR(INDEX('产品主数据'!$G$2:$G$5,MATCH($B92,'产品主数据'!$A$2:$A$5,0)),"")</f>
      </c>
      <c r="K92" s="288" t="str">
        <v>中国</v>
      </c>
      <c r="M92" s="288" t="str">
        <v>中国香港</v>
      </c>
      <c r="P92" s="288" t="str">
        <v>中国深圳</v>
      </c>
      <c r="S92" s="292" t="str">
        <v>照章征税</v>
      </c>
      <c r="T92" s="293">
        <f>IFERROR(INDEX('产品主数据'!$I$2:$I$5,MATCH($B92,'产品主数据'!$A$2:$A$5,0))*$G92,"")</f>
      </c>
      <c r="U92" s="294">
        <f>IFERROR(INDEX('产品主数据'!$H$2:$H$5,MATCH($B92,'产品主数据'!$A$2:$A$5,0))*$G92,"")</f>
      </c>
      <c r="V92" s="294">
        <f>$G92</f>
      </c>
    </row>
    <row r="93" spans="1:22">
      <c r="A93" s="284"/>
      <c r="B93" s="285"/>
      <c r="D93" s="295"/>
      <c r="G93" s="289"/>
      <c r="H93" s="289"/>
      <c r="I93" s="296"/>
      <c r="K93" s="288"/>
      <c r="M93" s="288"/>
      <c r="P93" s="288"/>
      <c r="S93" s="292"/>
      <c r="T93" s="135"/>
      <c r="U93" s="297"/>
      <c r="V93" s="297"/>
    </row>
    <row r="94" spans="1:22">
      <c r="A94" s="298"/>
      <c r="B94" s="299"/>
      <c r="C94" s="58"/>
      <c r="D94" s="58"/>
      <c r="E94" s="58"/>
      <c r="F94" s="58"/>
      <c r="G94" s="300"/>
      <c r="H94" s="300"/>
      <c r="I94" s="301"/>
      <c r="J94" s="58"/>
      <c r="K94" s="302"/>
      <c r="L94" s="58"/>
      <c r="M94" s="302"/>
      <c r="N94" s="58"/>
      <c r="O94" s="58"/>
      <c r="P94" s="302"/>
      <c r="Q94" s="58"/>
      <c r="R94" s="58"/>
      <c r="S94" s="211"/>
      <c r="T94" s="90"/>
      <c r="U94" s="303"/>
      <c r="V94" s="303"/>
    </row>
    <row r="95" spans="1:22">
      <c r="A95" s="284">
        <v>26</v>
      </c>
      <c r="B95" s="285"/>
      <c r="D95" s="288" t="str">
        <f>IFERROR(INDEX('产品主数据'!$C$2:$C$5,MATCH($B95,'产品主数据'!$A$2:$A$5,0)),"")</f>
      </c>
      <c r="G95" s="289"/>
      <c r="H95" s="289" t="str">
        <f>IFERROR(INDEX('产品主数据'!$F$2:$F$5,MATCH($B95,'产品主数据'!$A$2:$A$5,0)),"")</f>
      </c>
      <c r="I95" s="296">
        <f>IFERROR(INDEX('产品主数据'!$G$2:$G$5,MATCH($B95,'产品主数据'!$A$2:$A$5,0)),"")</f>
      </c>
      <c r="K95" s="288" t="str">
        <v>中国</v>
      </c>
      <c r="M95" s="288" t="str">
        <v>中国香港</v>
      </c>
      <c r="P95" s="288" t="str">
        <v>中国深圳</v>
      </c>
      <c r="S95" s="292" t="str">
        <v>照章征税</v>
      </c>
      <c r="T95" s="293">
        <f>IFERROR(INDEX('产品主数据'!$I$2:$I$5,MATCH($B95,'产品主数据'!$A$2:$A$5,0))*$G95,"")</f>
      </c>
      <c r="U95" s="294">
        <f>IFERROR(INDEX('产品主数据'!$H$2:$H$5,MATCH($B95,'产品主数据'!$A$2:$A$5,0))*$G95,"")</f>
      </c>
      <c r="V95" s="294">
        <f>$G95</f>
      </c>
    </row>
    <row r="96" spans="1:22">
      <c r="A96" s="284"/>
      <c r="B96" s="285"/>
      <c r="D96" s="295"/>
      <c r="G96" s="289"/>
      <c r="H96" s="289"/>
      <c r="I96" s="296"/>
      <c r="K96" s="288"/>
      <c r="M96" s="288"/>
      <c r="P96" s="288"/>
      <c r="S96" s="292"/>
      <c r="T96" s="135"/>
      <c r="U96" s="297"/>
      <c r="V96" s="297"/>
    </row>
    <row r="97" spans="1:22">
      <c r="A97" s="298"/>
      <c r="B97" s="299"/>
      <c r="C97" s="58"/>
      <c r="D97" s="58"/>
      <c r="E97" s="58"/>
      <c r="F97" s="58"/>
      <c r="G97" s="300"/>
      <c r="H97" s="300"/>
      <c r="I97" s="301"/>
      <c r="J97" s="58"/>
      <c r="K97" s="302"/>
      <c r="L97" s="58"/>
      <c r="M97" s="302"/>
      <c r="N97" s="58"/>
      <c r="O97" s="58"/>
      <c r="P97" s="302"/>
      <c r="Q97" s="58"/>
      <c r="R97" s="58"/>
      <c r="S97" s="211"/>
      <c r="T97" s="90"/>
      <c r="U97" s="303"/>
      <c r="V97" s="303"/>
    </row>
    <row r="98" spans="1:22">
      <c r="A98" s="284">
        <v>27</v>
      </c>
      <c r="B98" s="285"/>
      <c r="D98" s="288" t="str">
        <f>IFERROR(INDEX('产品主数据'!$C$2:$C$5,MATCH($B98,'产品主数据'!$A$2:$A$5,0)),"")</f>
      </c>
      <c r="G98" s="289"/>
      <c r="H98" s="289" t="str">
        <f>IFERROR(INDEX('产品主数据'!$F$2:$F$5,MATCH($B98,'产品主数据'!$A$2:$A$5,0)),"")</f>
      </c>
      <c r="I98" s="296">
        <f>IFERROR(INDEX('产品主数据'!$G$2:$G$5,MATCH($B98,'产品主数据'!$A$2:$A$5,0)),"")</f>
      </c>
      <c r="K98" s="288" t="str">
        <v>中国</v>
      </c>
      <c r="M98" s="288" t="str">
        <v>中国香港</v>
      </c>
      <c r="P98" s="288" t="str">
        <v>中国深圳</v>
      </c>
      <c r="S98" s="292" t="str">
        <v>照章征税</v>
      </c>
      <c r="T98" s="293">
        <f>IFERROR(INDEX('产品主数据'!$I$2:$I$5,MATCH($B98,'产品主数据'!$A$2:$A$5,0))*$G98,"")</f>
      </c>
      <c r="U98" s="294">
        <f>IFERROR(INDEX('产品主数据'!$H$2:$H$5,MATCH($B98,'产品主数据'!$A$2:$A$5,0))*$G98,"")</f>
      </c>
      <c r="V98" s="294">
        <f>$G98</f>
      </c>
    </row>
    <row r="99" spans="1:22">
      <c r="A99" s="284"/>
      <c r="B99" s="285"/>
      <c r="D99" s="295"/>
      <c r="G99" s="289"/>
      <c r="H99" s="289"/>
      <c r="I99" s="296"/>
      <c r="K99" s="288"/>
      <c r="M99" s="288"/>
      <c r="P99" s="288"/>
      <c r="S99" s="292"/>
      <c r="T99" s="135"/>
      <c r="U99" s="297"/>
      <c r="V99" s="297"/>
    </row>
    <row r="100" spans="1:22">
      <c r="A100" s="298"/>
      <c r="B100" s="299"/>
      <c r="C100" s="58"/>
      <c r="D100" s="58"/>
      <c r="E100" s="58"/>
      <c r="F100" s="58"/>
      <c r="G100" s="300"/>
      <c r="H100" s="300"/>
      <c r="I100" s="301"/>
      <c r="J100" s="58"/>
      <c r="K100" s="302"/>
      <c r="L100" s="58"/>
      <c r="M100" s="302"/>
      <c r="N100" s="58"/>
      <c r="O100" s="58"/>
      <c r="P100" s="302"/>
      <c r="Q100" s="58"/>
      <c r="R100" s="58"/>
      <c r="S100" s="211"/>
      <c r="T100" s="90"/>
      <c r="U100" s="303"/>
      <c r="V100" s="303"/>
    </row>
    <row r="101" spans="1:22">
      <c r="A101" s="284">
        <v>28</v>
      </c>
      <c r="B101" s="285"/>
      <c r="D101" s="288" t="str">
        <f>IFERROR(INDEX('产品主数据'!$C$2:$C$5,MATCH($B101,'产品主数据'!$A$2:$A$5,0)),"")</f>
      </c>
      <c r="G101" s="289"/>
      <c r="H101" s="289" t="str">
        <f>IFERROR(INDEX('产品主数据'!$F$2:$F$5,MATCH($B101,'产品主数据'!$A$2:$A$5,0)),"")</f>
      </c>
      <c r="I101" s="296">
        <f>IFERROR(INDEX('产品主数据'!$G$2:$G$5,MATCH($B101,'产品主数据'!$A$2:$A$5,0)),"")</f>
      </c>
      <c r="K101" s="288" t="str">
        <v>中国</v>
      </c>
      <c r="M101" s="288" t="str">
        <v>中国香港</v>
      </c>
      <c r="P101" s="288" t="str">
        <v>中国深圳</v>
      </c>
      <c r="S101" s="292" t="str">
        <v>照章征税</v>
      </c>
      <c r="T101" s="293">
        <f>IFERROR(INDEX('产品主数据'!$I$2:$I$5,MATCH($B101,'产品主数据'!$A$2:$A$5,0))*$G101,"")</f>
      </c>
      <c r="U101" s="294">
        <f>IFERROR(INDEX('产品主数据'!$H$2:$H$5,MATCH($B101,'产品主数据'!$A$2:$A$5,0))*$G101,"")</f>
      </c>
      <c r="V101" s="294">
        <f>$G101</f>
      </c>
    </row>
    <row r="102" spans="1:22">
      <c r="A102" s="284"/>
      <c r="B102" s="285"/>
      <c r="D102" s="295"/>
      <c r="G102" s="289"/>
      <c r="H102" s="289"/>
      <c r="I102" s="296"/>
      <c r="K102" s="288"/>
      <c r="M102" s="288"/>
      <c r="P102" s="288"/>
      <c r="S102" s="292"/>
      <c r="T102" s="135"/>
      <c r="U102" s="297"/>
      <c r="V102" s="297"/>
    </row>
    <row r="103" spans="1:22">
      <c r="A103" s="298"/>
      <c r="B103" s="299"/>
      <c r="C103" s="58"/>
      <c r="D103" s="58"/>
      <c r="E103" s="58"/>
      <c r="F103" s="58"/>
      <c r="G103" s="300"/>
      <c r="H103" s="300"/>
      <c r="I103" s="301"/>
      <c r="J103" s="58"/>
      <c r="K103" s="302"/>
      <c r="L103" s="58"/>
      <c r="M103" s="302"/>
      <c r="N103" s="58"/>
      <c r="O103" s="58"/>
      <c r="P103" s="302"/>
      <c r="Q103" s="58"/>
      <c r="R103" s="58"/>
      <c r="S103" s="211"/>
      <c r="T103" s="90"/>
      <c r="U103" s="303"/>
      <c r="V103" s="303"/>
    </row>
    <row r="104" spans="1:22">
      <c r="A104" s="284">
        <v>29</v>
      </c>
      <c r="B104" s="285"/>
      <c r="D104" s="288" t="str">
        <f>IFERROR(INDEX('产品主数据'!$C$2:$C$5,MATCH($B104,'产品主数据'!$A$2:$A$5,0)),"")</f>
      </c>
      <c r="G104" s="289"/>
      <c r="H104" s="289" t="str">
        <f>IFERROR(INDEX('产品主数据'!$F$2:$F$5,MATCH($B104,'产品主数据'!$A$2:$A$5,0)),"")</f>
      </c>
      <c r="I104" s="296">
        <f>IFERROR(INDEX('产品主数据'!$G$2:$G$5,MATCH($B104,'产品主数据'!$A$2:$A$5,0)),"")</f>
      </c>
      <c r="K104" s="288" t="str">
        <v>中国</v>
      </c>
      <c r="M104" s="288" t="str">
        <v>中国香港</v>
      </c>
      <c r="P104" s="288" t="str">
        <v>中国深圳</v>
      </c>
      <c r="S104" s="292" t="str">
        <v>照章征税</v>
      </c>
      <c r="T104" s="293">
        <f>IFERROR(INDEX('产品主数据'!$I$2:$I$5,MATCH($B104,'产品主数据'!$A$2:$A$5,0))*$G104,"")</f>
      </c>
      <c r="U104" s="294">
        <f>IFERROR(INDEX('产品主数据'!$H$2:$H$5,MATCH($B104,'产品主数据'!$A$2:$A$5,0))*$G104,"")</f>
      </c>
      <c r="V104" s="294">
        <f>$G104</f>
      </c>
    </row>
    <row r="105" spans="1:22">
      <c r="A105" s="284"/>
      <c r="B105" s="285"/>
      <c r="D105" s="295"/>
      <c r="G105" s="289"/>
      <c r="H105" s="289"/>
      <c r="I105" s="296"/>
      <c r="K105" s="288"/>
      <c r="M105" s="288"/>
      <c r="P105" s="288"/>
      <c r="S105" s="292"/>
      <c r="T105" s="135"/>
      <c r="U105" s="297"/>
      <c r="V105" s="297"/>
    </row>
    <row r="106" spans="1:22">
      <c r="A106" s="298"/>
      <c r="B106" s="299"/>
      <c r="C106" s="58"/>
      <c r="D106" s="58"/>
      <c r="E106" s="58"/>
      <c r="F106" s="58"/>
      <c r="G106" s="300"/>
      <c r="H106" s="300"/>
      <c r="I106" s="301"/>
      <c r="J106" s="58"/>
      <c r="K106" s="302"/>
      <c r="L106" s="58"/>
      <c r="M106" s="302"/>
      <c r="N106" s="58"/>
      <c r="O106" s="58"/>
      <c r="P106" s="302"/>
      <c r="Q106" s="58"/>
      <c r="R106" s="58"/>
      <c r="S106" s="211"/>
      <c r="T106" s="90"/>
      <c r="U106" s="303"/>
      <c r="V106" s="303"/>
    </row>
    <row r="107" spans="1:22">
      <c r="A107" s="284">
        <v>30</v>
      </c>
      <c r="B107" s="285"/>
      <c r="D107" s="288" t="str">
        <f>IFERROR(INDEX('产品主数据'!$C$2:$C$5,MATCH($B107,'产品主数据'!$A$2:$A$5,0)),"")</f>
      </c>
      <c r="G107" s="289"/>
      <c r="H107" s="289" t="str">
        <f>IFERROR(INDEX('产品主数据'!$F$2:$F$5,MATCH($B107,'产品主数据'!$A$2:$A$5,0)),"")</f>
      </c>
      <c r="I107" s="296">
        <f>IFERROR(INDEX('产品主数据'!$G$2:$G$5,MATCH($B107,'产品主数据'!$A$2:$A$5,0)),"")</f>
      </c>
      <c r="K107" s="288" t="str">
        <v>中国</v>
      </c>
      <c r="M107" s="288" t="str">
        <v>中国香港</v>
      </c>
      <c r="P107" s="288" t="str">
        <v>中国深圳</v>
      </c>
      <c r="S107" s="292" t="str">
        <v>照章征税</v>
      </c>
      <c r="T107" s="293">
        <f>IFERROR(INDEX('产品主数据'!$I$2:$I$5,MATCH($B107,'产品主数据'!$A$2:$A$5,0))*$G107,"")</f>
      </c>
      <c r="U107" s="294">
        <f>IFERROR(INDEX('产品主数据'!$H$2:$H$5,MATCH($B107,'产品主数据'!$A$2:$A$5,0))*$G107,"")</f>
      </c>
      <c r="V107" s="294">
        <f>$G107</f>
      </c>
    </row>
    <row r="108" spans="1:22">
      <c r="A108" s="284"/>
      <c r="B108" s="285"/>
      <c r="D108" s="295"/>
      <c r="G108" s="289"/>
      <c r="H108" s="289"/>
      <c r="I108" s="296"/>
      <c r="K108" s="288"/>
      <c r="M108" s="288"/>
      <c r="P108" s="288"/>
      <c r="S108" s="292"/>
      <c r="T108" s="135"/>
      <c r="U108" s="297"/>
      <c r="V108" s="297"/>
    </row>
    <row r="109" spans="1:22">
      <c r="A109" s="298"/>
      <c r="B109" s="299"/>
      <c r="C109" s="58"/>
      <c r="D109" s="58"/>
      <c r="E109" s="58"/>
      <c r="F109" s="58"/>
      <c r="G109" s="300"/>
      <c r="H109" s="300"/>
      <c r="I109" s="301"/>
      <c r="J109" s="58"/>
      <c r="K109" s="302"/>
      <c r="L109" s="58"/>
      <c r="M109" s="302"/>
      <c r="N109" s="58"/>
      <c r="O109" s="58"/>
      <c r="P109" s="302"/>
      <c r="Q109" s="58"/>
      <c r="R109" s="58"/>
      <c r="S109" s="211"/>
      <c r="T109" s="90"/>
      <c r="U109" s="303"/>
      <c r="V109" s="303"/>
    </row>
    <row r="110" spans="1:22">
      <c r="A110" s="284">
        <v>31</v>
      </c>
      <c r="B110" s="285"/>
      <c r="D110" s="288" t="str">
        <f>IFERROR(INDEX('产品主数据'!$C$2:$C$5,MATCH($B110,'产品主数据'!$A$2:$A$5,0)),"")</f>
      </c>
      <c r="G110" s="289"/>
      <c r="H110" s="289" t="str">
        <f>IFERROR(INDEX('产品主数据'!$F$2:$F$5,MATCH($B110,'产品主数据'!$A$2:$A$5,0)),"")</f>
      </c>
      <c r="I110" s="296">
        <f>IFERROR(INDEX('产品主数据'!$G$2:$G$5,MATCH($B110,'产品主数据'!$A$2:$A$5,0)),"")</f>
      </c>
      <c r="K110" s="288" t="str">
        <v>中国</v>
      </c>
      <c r="M110" s="288" t="str">
        <v>中国香港</v>
      </c>
      <c r="P110" s="288" t="str">
        <v>中国深圳</v>
      </c>
      <c r="S110" s="292" t="str">
        <v>照章征税</v>
      </c>
      <c r="T110" s="293">
        <f>IFERROR(INDEX('产品主数据'!$I$2:$I$5,MATCH($B110,'产品主数据'!$A$2:$A$5,0))*$G110,"")</f>
      </c>
      <c r="U110" s="294">
        <f>IFERROR(INDEX('产品主数据'!$H$2:$H$5,MATCH($B110,'产品主数据'!$A$2:$A$5,0))*$G110,"")</f>
      </c>
      <c r="V110" s="294">
        <f>$G110</f>
      </c>
    </row>
    <row r="111" spans="1:22">
      <c r="A111" s="284"/>
      <c r="B111" s="285"/>
      <c r="D111" s="295"/>
      <c r="G111" s="289"/>
      <c r="H111" s="289"/>
      <c r="I111" s="296"/>
      <c r="K111" s="288"/>
      <c r="M111" s="288"/>
      <c r="P111" s="288"/>
      <c r="S111" s="292"/>
      <c r="T111" s="135"/>
      <c r="U111" s="297"/>
      <c r="V111" s="297"/>
    </row>
    <row r="112" spans="1:22">
      <c r="A112" s="298"/>
      <c r="B112" s="299"/>
      <c r="C112" s="58"/>
      <c r="D112" s="58"/>
      <c r="E112" s="58"/>
      <c r="F112" s="58"/>
      <c r="G112" s="300"/>
      <c r="H112" s="300"/>
      <c r="I112" s="301"/>
      <c r="J112" s="58"/>
      <c r="K112" s="302"/>
      <c r="L112" s="58"/>
      <c r="M112" s="302"/>
      <c r="N112" s="58"/>
      <c r="O112" s="58"/>
      <c r="P112" s="302"/>
      <c r="Q112" s="58"/>
      <c r="R112" s="58"/>
      <c r="S112" s="211"/>
      <c r="T112" s="90"/>
      <c r="U112" s="303"/>
      <c r="V112" s="303"/>
    </row>
    <row r="113" spans="1:22">
      <c r="A113" s="284">
        <v>32</v>
      </c>
      <c r="B113" s="285"/>
      <c r="D113" s="288" t="str">
        <f>IFERROR(INDEX('产品主数据'!$C$2:$C$5,MATCH($B113,'产品主数据'!$A$2:$A$5,0)),"")</f>
      </c>
      <c r="G113" s="289"/>
      <c r="H113" s="289" t="str">
        <f>IFERROR(INDEX('产品主数据'!$F$2:$F$5,MATCH($B113,'产品主数据'!$A$2:$A$5,0)),"")</f>
      </c>
      <c r="I113" s="296">
        <f>IFERROR(INDEX('产品主数据'!$G$2:$G$5,MATCH($B113,'产品主数据'!$A$2:$A$5,0)),"")</f>
      </c>
      <c r="K113" s="288" t="str">
        <v>中国</v>
      </c>
      <c r="M113" s="288" t="str">
        <v>中国香港</v>
      </c>
      <c r="P113" s="288" t="str">
        <v>中国深圳</v>
      </c>
      <c r="S113" s="292" t="str">
        <v>照章征税</v>
      </c>
      <c r="T113" s="293">
        <f>IFERROR(INDEX('产品主数据'!$I$2:$I$5,MATCH($B113,'产品主数据'!$A$2:$A$5,0))*$G113,"")</f>
      </c>
      <c r="U113" s="294">
        <f>IFERROR(INDEX('产品主数据'!$H$2:$H$5,MATCH($B113,'产品主数据'!$A$2:$A$5,0))*$G113,"")</f>
      </c>
      <c r="V113" s="294">
        <f>$G113</f>
      </c>
    </row>
    <row r="114" spans="1:22">
      <c r="A114" s="284"/>
      <c r="B114" s="285"/>
      <c r="D114" s="295"/>
      <c r="G114" s="289"/>
      <c r="H114" s="289"/>
      <c r="I114" s="296"/>
      <c r="K114" s="288"/>
      <c r="M114" s="288"/>
      <c r="P114" s="288"/>
      <c r="S114" s="292"/>
      <c r="T114" s="135"/>
      <c r="U114" s="297"/>
      <c r="V114" s="297"/>
    </row>
    <row r="115" spans="1:22">
      <c r="A115" s="298"/>
      <c r="B115" s="299"/>
      <c r="C115" s="58"/>
      <c r="D115" s="58"/>
      <c r="E115" s="58"/>
      <c r="F115" s="58"/>
      <c r="G115" s="300"/>
      <c r="H115" s="300"/>
      <c r="I115" s="301"/>
      <c r="J115" s="58"/>
      <c r="K115" s="302"/>
      <c r="L115" s="58"/>
      <c r="M115" s="302"/>
      <c r="N115" s="58"/>
      <c r="O115" s="58"/>
      <c r="P115" s="302"/>
      <c r="Q115" s="58"/>
      <c r="R115" s="58"/>
      <c r="S115" s="211"/>
      <c r="T115" s="90"/>
      <c r="U115" s="303"/>
      <c r="V115" s="303"/>
    </row>
    <row r="116" spans="1:22">
      <c r="A116" s="284">
        <v>33</v>
      </c>
      <c r="B116" s="285"/>
      <c r="D116" s="288" t="str">
        <f>IFERROR(INDEX('产品主数据'!$C$2:$C$5,MATCH($B116,'产品主数据'!$A$2:$A$5,0)),"")</f>
      </c>
      <c r="G116" s="289"/>
      <c r="H116" s="289" t="str">
        <f>IFERROR(INDEX('产品主数据'!$F$2:$F$5,MATCH($B116,'产品主数据'!$A$2:$A$5,0)),"")</f>
      </c>
      <c r="I116" s="296">
        <f>IFERROR(INDEX('产品主数据'!$G$2:$G$5,MATCH($B116,'产品主数据'!$A$2:$A$5,0)),"")</f>
      </c>
      <c r="K116" s="288" t="str">
        <v>中国</v>
      </c>
      <c r="M116" s="288" t="str">
        <v>中国香港</v>
      </c>
      <c r="P116" s="288" t="str">
        <v>中国深圳</v>
      </c>
      <c r="S116" s="292" t="str">
        <v>照章征税</v>
      </c>
      <c r="T116" s="293">
        <f>IFERROR(INDEX('产品主数据'!$I$2:$I$5,MATCH($B116,'产品主数据'!$A$2:$A$5,0))*$G116,"")</f>
      </c>
      <c r="U116" s="294">
        <f>IFERROR(INDEX('产品主数据'!$H$2:$H$5,MATCH($B116,'产品主数据'!$A$2:$A$5,0))*$G116,"")</f>
      </c>
      <c r="V116" s="294">
        <f>$G116</f>
      </c>
    </row>
    <row r="117" spans="1:22">
      <c r="A117" s="284"/>
      <c r="B117" s="285"/>
      <c r="D117" s="295"/>
      <c r="G117" s="289"/>
      <c r="H117" s="289"/>
      <c r="I117" s="296"/>
      <c r="K117" s="288"/>
      <c r="M117" s="288"/>
      <c r="P117" s="288"/>
      <c r="S117" s="292"/>
      <c r="T117" s="135"/>
      <c r="U117" s="297"/>
      <c r="V117" s="297"/>
    </row>
    <row r="118" spans="1:22">
      <c r="A118" s="298"/>
      <c r="B118" s="299"/>
      <c r="C118" s="58"/>
      <c r="D118" s="58"/>
      <c r="E118" s="58"/>
      <c r="F118" s="58"/>
      <c r="G118" s="300"/>
      <c r="H118" s="300"/>
      <c r="I118" s="301"/>
      <c r="J118" s="58"/>
      <c r="K118" s="302"/>
      <c r="L118" s="58"/>
      <c r="M118" s="302"/>
      <c r="N118" s="58"/>
      <c r="O118" s="58"/>
      <c r="P118" s="302"/>
      <c r="Q118" s="58"/>
      <c r="R118" s="58"/>
      <c r="S118" s="211"/>
      <c r="T118" s="90"/>
      <c r="U118" s="303"/>
      <c r="V118" s="303"/>
    </row>
    <row r="119" spans="1:22">
      <c r="A119" s="284">
        <v>34</v>
      </c>
      <c r="B119" s="285"/>
      <c r="D119" s="288" t="str">
        <f>IFERROR(INDEX('产品主数据'!$C$2:$C$5,MATCH($B119,'产品主数据'!$A$2:$A$5,0)),"")</f>
      </c>
      <c r="G119" s="289"/>
      <c r="H119" s="289" t="str">
        <f>IFERROR(INDEX('产品主数据'!$F$2:$F$5,MATCH($B119,'产品主数据'!$A$2:$A$5,0)),"")</f>
      </c>
      <c r="I119" s="296">
        <f>IFERROR(INDEX('产品主数据'!$G$2:$G$5,MATCH($B119,'产品主数据'!$A$2:$A$5,0)),"")</f>
      </c>
      <c r="K119" s="288" t="str">
        <v>中国</v>
      </c>
      <c r="M119" s="288" t="str">
        <v>中国香港</v>
      </c>
      <c r="P119" s="288" t="str">
        <v>中国深圳</v>
      </c>
      <c r="S119" s="292" t="str">
        <v>照章征税</v>
      </c>
      <c r="T119" s="293">
        <f>IFERROR(INDEX('产品主数据'!$I$2:$I$5,MATCH($B119,'产品主数据'!$A$2:$A$5,0))*$G119,"")</f>
      </c>
      <c r="U119" s="294">
        <f>IFERROR(INDEX('产品主数据'!$H$2:$H$5,MATCH($B119,'产品主数据'!$A$2:$A$5,0))*$G119,"")</f>
      </c>
      <c r="V119" s="294">
        <f>$G119</f>
      </c>
    </row>
    <row r="120" spans="1:22">
      <c r="A120" s="284"/>
      <c r="B120" s="285"/>
      <c r="D120" s="295"/>
      <c r="G120" s="289"/>
      <c r="H120" s="289"/>
      <c r="I120" s="296"/>
      <c r="K120" s="288"/>
      <c r="M120" s="288"/>
      <c r="P120" s="288"/>
      <c r="S120" s="292"/>
      <c r="T120" s="135"/>
      <c r="U120" s="297"/>
      <c r="V120" s="297"/>
    </row>
    <row r="121" spans="1:22">
      <c r="A121" s="298"/>
      <c r="B121" s="299"/>
      <c r="C121" s="58"/>
      <c r="D121" s="58"/>
      <c r="E121" s="58"/>
      <c r="F121" s="58"/>
      <c r="G121" s="300"/>
      <c r="H121" s="300"/>
      <c r="I121" s="301"/>
      <c r="J121" s="58"/>
      <c r="K121" s="302"/>
      <c r="L121" s="58"/>
      <c r="M121" s="302"/>
      <c r="N121" s="58"/>
      <c r="O121" s="58"/>
      <c r="P121" s="302"/>
      <c r="Q121" s="58"/>
      <c r="R121" s="58"/>
      <c r="S121" s="211"/>
      <c r="T121" s="90"/>
      <c r="U121" s="303"/>
      <c r="V121" s="303"/>
    </row>
    <row r="122" spans="1:22">
      <c r="A122" s="284">
        <v>35</v>
      </c>
      <c r="B122" s="285"/>
      <c r="D122" s="288" t="str">
        <f>IFERROR(INDEX('产品主数据'!$C$2:$C$5,MATCH($B122,'产品主数据'!$A$2:$A$5,0)),"")</f>
      </c>
      <c r="G122" s="289"/>
      <c r="H122" s="289" t="str">
        <f>IFERROR(INDEX('产品主数据'!$F$2:$F$5,MATCH($B122,'产品主数据'!$A$2:$A$5,0)),"")</f>
      </c>
      <c r="I122" s="296">
        <f>IFERROR(INDEX('产品主数据'!$G$2:$G$5,MATCH($B122,'产品主数据'!$A$2:$A$5,0)),"")</f>
      </c>
      <c r="K122" s="288" t="str">
        <v>中国</v>
      </c>
      <c r="M122" s="288" t="str">
        <v>中国香港</v>
      </c>
      <c r="P122" s="288" t="str">
        <v>中国深圳</v>
      </c>
      <c r="S122" s="292" t="str">
        <v>照章征税</v>
      </c>
      <c r="T122" s="293">
        <f>IFERROR(INDEX('产品主数据'!$I$2:$I$5,MATCH($B122,'产品主数据'!$A$2:$A$5,0))*$G122,"")</f>
      </c>
      <c r="U122" s="294">
        <f>IFERROR(INDEX('产品主数据'!$H$2:$H$5,MATCH($B122,'产品主数据'!$A$2:$A$5,0))*$G122,"")</f>
      </c>
      <c r="V122" s="294">
        <f>$G122</f>
      </c>
    </row>
    <row r="123" spans="1:22">
      <c r="A123" s="284"/>
      <c r="B123" s="285"/>
      <c r="D123" s="295"/>
      <c r="G123" s="289"/>
      <c r="H123" s="289"/>
      <c r="I123" s="296"/>
      <c r="K123" s="288"/>
      <c r="M123" s="288"/>
      <c r="P123" s="288"/>
      <c r="S123" s="292"/>
      <c r="T123" s="135"/>
      <c r="U123" s="297"/>
      <c r="V123" s="297"/>
    </row>
    <row r="124" spans="1:22">
      <c r="A124" s="298"/>
      <c r="B124" s="299"/>
      <c r="C124" s="58"/>
      <c r="D124" s="58"/>
      <c r="E124" s="58"/>
      <c r="F124" s="58"/>
      <c r="G124" s="300"/>
      <c r="H124" s="300"/>
      <c r="I124" s="301"/>
      <c r="J124" s="58"/>
      <c r="K124" s="302"/>
      <c r="L124" s="58"/>
      <c r="M124" s="302"/>
      <c r="N124" s="58"/>
      <c r="O124" s="58"/>
      <c r="P124" s="302"/>
      <c r="Q124" s="58"/>
      <c r="R124" s="58"/>
      <c r="S124" s="211"/>
      <c r="T124" s="90"/>
      <c r="U124" s="303"/>
      <c r="V124" s="303"/>
    </row>
    <row r="125" spans="1:22">
      <c r="A125" s="284">
        <v>36</v>
      </c>
      <c r="B125" s="285"/>
      <c r="D125" s="288" t="str">
        <f>IFERROR(INDEX('产品主数据'!$C$2:$C$5,MATCH($B125,'产品主数据'!$A$2:$A$5,0)),"")</f>
      </c>
      <c r="G125" s="289"/>
      <c r="H125" s="289" t="str">
        <f>IFERROR(INDEX('产品主数据'!$F$2:$F$5,MATCH($B125,'产品主数据'!$A$2:$A$5,0)),"")</f>
      </c>
      <c r="I125" s="296">
        <f>IFERROR(INDEX('产品主数据'!$G$2:$G$5,MATCH($B125,'产品主数据'!$A$2:$A$5,0)),"")</f>
      </c>
      <c r="K125" s="288" t="str">
        <v>中国</v>
      </c>
      <c r="M125" s="288" t="str">
        <v>中国香港</v>
      </c>
      <c r="P125" s="288" t="str">
        <v>中国深圳</v>
      </c>
      <c r="S125" s="292" t="str">
        <v>照章征税</v>
      </c>
      <c r="T125" s="293">
        <f>IFERROR(INDEX('产品主数据'!$I$2:$I$5,MATCH($B125,'产品主数据'!$A$2:$A$5,0))*$G125,"")</f>
      </c>
      <c r="U125" s="294">
        <f>IFERROR(INDEX('产品主数据'!$H$2:$H$5,MATCH($B125,'产品主数据'!$A$2:$A$5,0))*$G125,"")</f>
      </c>
      <c r="V125" s="294">
        <f>$G125</f>
      </c>
    </row>
    <row r="126" spans="1:22">
      <c r="A126" s="284"/>
      <c r="B126" s="285"/>
      <c r="D126" s="295"/>
      <c r="G126" s="289"/>
      <c r="H126" s="289"/>
      <c r="I126" s="296"/>
      <c r="K126" s="288"/>
      <c r="M126" s="288"/>
      <c r="P126" s="288"/>
      <c r="S126" s="292"/>
      <c r="T126" s="135"/>
      <c r="U126" s="297"/>
      <c r="V126" s="297"/>
    </row>
    <row r="127" spans="1:22">
      <c r="A127" s="298"/>
      <c r="B127" s="299"/>
      <c r="C127" s="58"/>
      <c r="D127" s="58"/>
      <c r="E127" s="58"/>
      <c r="F127" s="58"/>
      <c r="G127" s="300"/>
      <c r="H127" s="300"/>
      <c r="I127" s="301"/>
      <c r="J127" s="58"/>
      <c r="K127" s="302"/>
      <c r="L127" s="58"/>
      <c r="M127" s="302"/>
      <c r="N127" s="58"/>
      <c r="O127" s="58"/>
      <c r="P127" s="302"/>
      <c r="Q127" s="58"/>
      <c r="R127" s="58"/>
      <c r="S127" s="211"/>
      <c r="T127" s="90"/>
      <c r="U127" s="303"/>
      <c r="V127" s="303"/>
    </row>
    <row r="128" spans="1:22">
      <c r="A128" s="284">
        <v>37</v>
      </c>
      <c r="B128" s="285"/>
      <c r="D128" s="288" t="str">
        <f>IFERROR(INDEX('产品主数据'!$C$2:$C$5,MATCH($B128,'产品主数据'!$A$2:$A$5,0)),"")</f>
      </c>
      <c r="G128" s="289"/>
      <c r="H128" s="289" t="str">
        <f>IFERROR(INDEX('产品主数据'!$F$2:$F$5,MATCH($B128,'产品主数据'!$A$2:$A$5,0)),"")</f>
      </c>
      <c r="I128" s="296">
        <f>IFERROR(INDEX('产品主数据'!$G$2:$G$5,MATCH($B128,'产品主数据'!$A$2:$A$5,0)),"")</f>
      </c>
      <c r="K128" s="288" t="str">
        <v>中国</v>
      </c>
      <c r="M128" s="288" t="str">
        <v>中国香港</v>
      </c>
      <c r="P128" s="288" t="str">
        <v>中国深圳</v>
      </c>
      <c r="S128" s="292" t="str">
        <v>照章征税</v>
      </c>
      <c r="T128" s="293">
        <f>IFERROR(INDEX('产品主数据'!$I$2:$I$5,MATCH($B128,'产品主数据'!$A$2:$A$5,0))*$G128,"")</f>
      </c>
      <c r="U128" s="294">
        <f>IFERROR(INDEX('产品主数据'!$H$2:$H$5,MATCH($B128,'产品主数据'!$A$2:$A$5,0))*$G128,"")</f>
      </c>
      <c r="V128" s="294">
        <f>$G128</f>
      </c>
    </row>
    <row r="129" spans="1:22">
      <c r="A129" s="284"/>
      <c r="B129" s="285"/>
      <c r="D129" s="295"/>
      <c r="G129" s="289"/>
      <c r="H129" s="289"/>
      <c r="I129" s="296"/>
      <c r="K129" s="288"/>
      <c r="M129" s="288"/>
      <c r="P129" s="288"/>
      <c r="S129" s="292"/>
      <c r="T129" s="135"/>
      <c r="U129" s="297"/>
      <c r="V129" s="297"/>
    </row>
    <row r="130" spans="1:22">
      <c r="A130" s="298"/>
      <c r="B130" s="299"/>
      <c r="C130" s="58"/>
      <c r="D130" s="58"/>
      <c r="E130" s="58"/>
      <c r="F130" s="58"/>
      <c r="G130" s="300"/>
      <c r="H130" s="300"/>
      <c r="I130" s="301"/>
      <c r="J130" s="58"/>
      <c r="K130" s="302"/>
      <c r="L130" s="58"/>
      <c r="M130" s="302"/>
      <c r="N130" s="58"/>
      <c r="O130" s="58"/>
      <c r="P130" s="302"/>
      <c r="Q130" s="58"/>
      <c r="R130" s="58"/>
      <c r="S130" s="211"/>
      <c r="T130" s="90"/>
      <c r="U130" s="303"/>
      <c r="V130" s="303"/>
    </row>
    <row r="131" spans="1:22">
      <c r="A131" s="284">
        <v>38</v>
      </c>
      <c r="B131" s="285"/>
      <c r="D131" s="288" t="str">
        <f>IFERROR(INDEX('产品主数据'!$C$2:$C$5,MATCH($B131,'产品主数据'!$A$2:$A$5,0)),"")</f>
      </c>
      <c r="G131" s="289"/>
      <c r="H131" s="289" t="str">
        <f>IFERROR(INDEX('产品主数据'!$F$2:$F$5,MATCH($B131,'产品主数据'!$A$2:$A$5,0)),"")</f>
      </c>
      <c r="I131" s="296">
        <f>IFERROR(INDEX('产品主数据'!$G$2:$G$5,MATCH($B131,'产品主数据'!$A$2:$A$5,0)),"")</f>
      </c>
      <c r="K131" s="288" t="str">
        <v>中国</v>
      </c>
      <c r="M131" s="288" t="str">
        <v>中国香港</v>
      </c>
      <c r="P131" s="288" t="str">
        <v>中国深圳</v>
      </c>
      <c r="S131" s="292" t="str">
        <v>照章征税</v>
      </c>
      <c r="T131" s="293">
        <f>IFERROR(INDEX('产品主数据'!$I$2:$I$5,MATCH($B131,'产品主数据'!$A$2:$A$5,0))*$G131,"")</f>
      </c>
      <c r="U131" s="294">
        <f>IFERROR(INDEX('产品主数据'!$H$2:$H$5,MATCH($B131,'产品主数据'!$A$2:$A$5,0))*$G131,"")</f>
      </c>
      <c r="V131" s="294">
        <f>$G131</f>
      </c>
    </row>
    <row r="132" spans="1:22">
      <c r="A132" s="284"/>
      <c r="B132" s="285"/>
      <c r="D132" s="295"/>
      <c r="G132" s="289"/>
      <c r="H132" s="289"/>
      <c r="I132" s="296"/>
      <c r="K132" s="288"/>
      <c r="M132" s="288"/>
      <c r="P132" s="288"/>
      <c r="S132" s="292"/>
      <c r="T132" s="135"/>
      <c r="U132" s="297"/>
      <c r="V132" s="297"/>
    </row>
    <row r="133" spans="1:22">
      <c r="A133" s="298"/>
      <c r="B133" s="299"/>
      <c r="C133" s="58"/>
      <c r="D133" s="58"/>
      <c r="E133" s="58"/>
      <c r="F133" s="58"/>
      <c r="G133" s="300"/>
      <c r="H133" s="300"/>
      <c r="I133" s="301"/>
      <c r="J133" s="58"/>
      <c r="K133" s="302"/>
      <c r="L133" s="58"/>
      <c r="M133" s="302"/>
      <c r="N133" s="58"/>
      <c r="O133" s="58"/>
      <c r="P133" s="302"/>
      <c r="Q133" s="58"/>
      <c r="R133" s="58"/>
      <c r="S133" s="211"/>
      <c r="T133" s="90"/>
      <c r="U133" s="303"/>
      <c r="V133" s="303"/>
    </row>
    <row r="134" spans="1:22">
      <c r="A134" s="284">
        <v>39</v>
      </c>
      <c r="B134" s="285"/>
      <c r="D134" s="288" t="str">
        <f>IFERROR(INDEX('产品主数据'!$C$2:$C$5,MATCH($B134,'产品主数据'!$A$2:$A$5,0)),"")</f>
      </c>
      <c r="G134" s="289"/>
      <c r="H134" s="289" t="str">
        <f>IFERROR(INDEX('产品主数据'!$F$2:$F$5,MATCH($B134,'产品主数据'!$A$2:$A$5,0)),"")</f>
      </c>
      <c r="I134" s="296">
        <f>IFERROR(INDEX('产品主数据'!$G$2:$G$5,MATCH($B134,'产品主数据'!$A$2:$A$5,0)),"")</f>
      </c>
      <c r="K134" s="288" t="str">
        <v>中国</v>
      </c>
      <c r="M134" s="288" t="str">
        <v>中国香港</v>
      </c>
      <c r="P134" s="288" t="str">
        <v>中国深圳</v>
      </c>
      <c r="S134" s="292" t="str">
        <v>照章征税</v>
      </c>
      <c r="T134" s="293">
        <f>IFERROR(INDEX('产品主数据'!$I$2:$I$5,MATCH($B134,'产品主数据'!$A$2:$A$5,0))*$G134,"")</f>
      </c>
      <c r="U134" s="294">
        <f>IFERROR(INDEX('产品主数据'!$H$2:$H$5,MATCH($B134,'产品主数据'!$A$2:$A$5,0))*$G134,"")</f>
      </c>
      <c r="V134" s="294">
        <f>$G134</f>
      </c>
    </row>
    <row r="135" spans="1:22">
      <c r="A135" s="284"/>
      <c r="B135" s="285"/>
      <c r="D135" s="295"/>
      <c r="G135" s="289"/>
      <c r="H135" s="289"/>
      <c r="I135" s="296"/>
      <c r="K135" s="288"/>
      <c r="M135" s="288"/>
      <c r="P135" s="288"/>
      <c r="S135" s="292"/>
      <c r="T135" s="135"/>
      <c r="U135" s="297"/>
      <c r="V135" s="297"/>
    </row>
    <row r="136" spans="1:22">
      <c r="A136" s="298"/>
      <c r="B136" s="299"/>
      <c r="C136" s="58"/>
      <c r="D136" s="58"/>
      <c r="E136" s="58"/>
      <c r="F136" s="58"/>
      <c r="G136" s="300"/>
      <c r="H136" s="300"/>
      <c r="I136" s="301"/>
      <c r="J136" s="58"/>
      <c r="K136" s="302"/>
      <c r="L136" s="58"/>
      <c r="M136" s="302"/>
      <c r="N136" s="58"/>
      <c r="O136" s="58"/>
      <c r="P136" s="302"/>
      <c r="Q136" s="58"/>
      <c r="R136" s="58"/>
      <c r="S136" s="211"/>
      <c r="T136" s="90"/>
      <c r="U136" s="303"/>
      <c r="V136" s="303"/>
    </row>
    <row r="137" spans="1:22">
      <c r="A137" s="284">
        <v>40</v>
      </c>
      <c r="B137" s="285"/>
      <c r="D137" s="288" t="str">
        <f>IFERROR(INDEX('产品主数据'!$C$2:$C$5,MATCH($B137,'产品主数据'!$A$2:$A$5,0)),"")</f>
      </c>
      <c r="G137" s="289"/>
      <c r="H137" s="289" t="str">
        <f>IFERROR(INDEX('产品主数据'!$F$2:$F$5,MATCH($B137,'产品主数据'!$A$2:$A$5,0)),"")</f>
      </c>
      <c r="I137" s="296">
        <f>IFERROR(INDEX('产品主数据'!$G$2:$G$5,MATCH($B137,'产品主数据'!$A$2:$A$5,0)),"")</f>
      </c>
      <c r="K137" s="288" t="str">
        <v>中国</v>
      </c>
      <c r="M137" s="288" t="str">
        <v>中国香港</v>
      </c>
      <c r="P137" s="288" t="str">
        <v>中国深圳</v>
      </c>
      <c r="S137" s="292" t="str">
        <v>照章征税</v>
      </c>
      <c r="T137" s="293">
        <f>IFERROR(INDEX('产品主数据'!$I$2:$I$5,MATCH($B137,'产品主数据'!$A$2:$A$5,0))*$G137,"")</f>
      </c>
      <c r="U137" s="294">
        <f>IFERROR(INDEX('产品主数据'!$H$2:$H$5,MATCH($B137,'产品主数据'!$A$2:$A$5,0))*$G137,"")</f>
      </c>
      <c r="V137" s="294">
        <f>$G137</f>
      </c>
    </row>
    <row r="138" spans="1:22">
      <c r="A138" s="284"/>
      <c r="B138" s="285"/>
      <c r="D138" s="295"/>
      <c r="G138" s="289"/>
      <c r="H138" s="289"/>
      <c r="I138" s="296"/>
      <c r="K138" s="288"/>
      <c r="M138" s="288"/>
      <c r="P138" s="288"/>
      <c r="S138" s="292"/>
      <c r="T138" s="135"/>
      <c r="U138" s="297"/>
      <c r="V138" s="297"/>
    </row>
    <row r="139" spans="1:22">
      <c r="A139" s="298"/>
      <c r="B139" s="299"/>
      <c r="C139" s="58"/>
      <c r="D139" s="58"/>
      <c r="E139" s="58"/>
      <c r="F139" s="58"/>
      <c r="G139" s="300"/>
      <c r="H139" s="300"/>
      <c r="I139" s="301"/>
      <c r="J139" s="58"/>
      <c r="K139" s="302"/>
      <c r="L139" s="58"/>
      <c r="M139" s="302"/>
      <c r="N139" s="58"/>
      <c r="O139" s="58"/>
      <c r="P139" s="302"/>
      <c r="Q139" s="58"/>
      <c r="R139" s="58"/>
      <c r="S139" s="211"/>
      <c r="T139" s="90"/>
      <c r="U139" s="303"/>
      <c r="V139" s="303"/>
    </row>
    <row r="140" spans="1:22">
      <c r="A140" s="284">
        <v>45</v>
      </c>
      <c r="B140" s="285"/>
      <c r="D140" s="288"/>
      <c r="G140" s="289"/>
      <c r="H140" s="289"/>
      <c r="I140" s="296"/>
      <c r="K140" s="288"/>
      <c r="M140" s="288"/>
      <c r="P140" s="288"/>
      <c r="S140" s="292"/>
      <c r="T140" s="293"/>
      <c r="U140" s="294"/>
      <c r="V140" s="294"/>
    </row>
    <row r="141" spans="1:22">
      <c r="A141" s="284"/>
      <c r="B141" s="285"/>
      <c r="D141" s="295"/>
      <c r="G141" s="289"/>
      <c r="H141" s="289"/>
      <c r="I141" s="296"/>
      <c r="K141" s="288"/>
      <c r="M141" s="288"/>
      <c r="P141" s="288"/>
      <c r="S141" s="292"/>
      <c r="T141" s="135"/>
      <c r="U141" s="297"/>
      <c r="V141" s="297"/>
    </row>
    <row r="142" spans="1:22">
      <c r="A142" s="298"/>
      <c r="B142" s="299"/>
      <c r="C142" s="58"/>
      <c r="D142" s="58"/>
      <c r="E142" s="58"/>
      <c r="F142" s="58"/>
      <c r="G142" s="300"/>
      <c r="H142" s="300"/>
      <c r="I142" s="301"/>
      <c r="J142" s="58"/>
      <c r="K142" s="302"/>
      <c r="L142" s="58"/>
      <c r="M142" s="302"/>
      <c r="N142" s="58"/>
      <c r="O142" s="58"/>
      <c r="P142" s="302"/>
      <c r="Q142" s="58"/>
      <c r="R142" s="58"/>
      <c r="S142" s="211"/>
      <c r="T142" s="90"/>
      <c r="U142" s="303"/>
      <c r="V142" s="303"/>
    </row>
    <row r="143" spans="1:22">
      <c r="A143" s="284">
        <v>46</v>
      </c>
      <c r="B143" s="285"/>
      <c r="D143" s="288"/>
      <c r="G143" s="289"/>
      <c r="H143" s="289"/>
      <c r="I143" s="296"/>
      <c r="K143" s="288"/>
      <c r="M143" s="288"/>
      <c r="P143" s="288"/>
      <c r="S143" s="292"/>
      <c r="T143" s="293"/>
      <c r="U143" s="294"/>
      <c r="V143" s="294"/>
    </row>
    <row r="144" spans="1:22">
      <c r="A144" s="284"/>
      <c r="B144" s="285"/>
      <c r="D144" s="295"/>
      <c r="G144" s="289"/>
      <c r="H144" s="289"/>
      <c r="I144" s="296"/>
      <c r="K144" s="288"/>
      <c r="M144" s="288"/>
      <c r="P144" s="288"/>
      <c r="S144" s="292"/>
      <c r="T144" s="135"/>
      <c r="U144" s="297"/>
      <c r="V144" s="297"/>
    </row>
    <row r="145" spans="1:22">
      <c r="A145" s="298"/>
      <c r="B145" s="299"/>
      <c r="C145" s="58"/>
      <c r="D145" s="58"/>
      <c r="E145" s="58"/>
      <c r="F145" s="58"/>
      <c r="G145" s="300"/>
      <c r="H145" s="300"/>
      <c r="I145" s="301"/>
      <c r="J145" s="58"/>
      <c r="K145" s="302"/>
      <c r="L145" s="58"/>
      <c r="M145" s="302"/>
      <c r="N145" s="58"/>
      <c r="O145" s="58"/>
      <c r="P145" s="302"/>
      <c r="Q145" s="58"/>
      <c r="R145" s="58"/>
      <c r="S145" s="211"/>
      <c r="T145" s="90"/>
      <c r="U145" s="303"/>
      <c r="V145" s="303"/>
    </row>
    <row r="146" spans="1:22">
      <c r="A146" s="284">
        <v>47</v>
      </c>
      <c r="B146" s="285"/>
      <c r="D146" s="288"/>
      <c r="G146" s="289"/>
      <c r="H146" s="289"/>
      <c r="I146" s="296"/>
      <c r="K146" s="288"/>
      <c r="M146" s="288"/>
      <c r="P146" s="288"/>
      <c r="S146" s="292"/>
      <c r="T146" s="293"/>
      <c r="U146" s="294"/>
      <c r="V146" s="294"/>
    </row>
    <row r="147" spans="1:22">
      <c r="A147" s="284"/>
      <c r="B147" s="285"/>
      <c r="D147" s="295"/>
      <c r="G147" s="289"/>
      <c r="H147" s="289"/>
      <c r="I147" s="296"/>
      <c r="K147" s="288"/>
      <c r="M147" s="288"/>
      <c r="P147" s="288"/>
      <c r="S147" s="292"/>
      <c r="T147" s="135"/>
      <c r="U147" s="297"/>
      <c r="V147" s="297"/>
    </row>
    <row r="148" spans="1:22">
      <c r="A148" s="298"/>
      <c r="B148" s="299"/>
      <c r="C148" s="58"/>
      <c r="D148" s="58"/>
      <c r="E148" s="58"/>
      <c r="F148" s="58"/>
      <c r="G148" s="300"/>
      <c r="H148" s="300"/>
      <c r="I148" s="301"/>
      <c r="J148" s="58"/>
      <c r="K148" s="302"/>
      <c r="L148" s="58"/>
      <c r="M148" s="302"/>
      <c r="N148" s="58"/>
      <c r="O148" s="58"/>
      <c r="P148" s="302"/>
      <c r="Q148" s="58"/>
      <c r="R148" s="58"/>
      <c r="S148" s="211"/>
      <c r="T148" s="90"/>
      <c r="U148" s="303"/>
      <c r="V148" s="303"/>
    </row>
    <row r="149" spans="1:22">
      <c r="A149" s="284">
        <v>48</v>
      </c>
      <c r="B149" s="285"/>
      <c r="D149" s="288"/>
      <c r="G149" s="289"/>
      <c r="H149" s="289"/>
      <c r="I149" s="296"/>
      <c r="K149" s="288"/>
      <c r="M149" s="288"/>
      <c r="P149" s="288"/>
      <c r="S149" s="292"/>
      <c r="T149" s="293"/>
      <c r="U149" s="294"/>
      <c r="V149" s="294"/>
    </row>
    <row r="150" spans="1:22">
      <c r="A150" s="284"/>
      <c r="B150" s="285"/>
      <c r="D150" s="295"/>
      <c r="G150" s="289"/>
      <c r="H150" s="289"/>
      <c r="I150" s="296"/>
      <c r="K150" s="288"/>
      <c r="M150" s="288"/>
      <c r="P150" s="288"/>
      <c r="S150" s="292"/>
      <c r="T150" s="135"/>
      <c r="U150" s="297"/>
      <c r="V150" s="297"/>
    </row>
    <row r="151" spans="1:22">
      <c r="A151" s="298"/>
      <c r="B151" s="299"/>
      <c r="C151" s="58"/>
      <c r="D151" s="58"/>
      <c r="E151" s="58"/>
      <c r="F151" s="58"/>
      <c r="G151" s="300"/>
      <c r="H151" s="300"/>
      <c r="I151" s="301"/>
      <c r="J151" s="58"/>
      <c r="K151" s="302"/>
      <c r="L151" s="58"/>
      <c r="M151" s="302"/>
      <c r="N151" s="58"/>
      <c r="O151" s="58"/>
      <c r="P151" s="302"/>
      <c r="Q151" s="58"/>
      <c r="R151" s="58"/>
      <c r="S151" s="211"/>
      <c r="T151" s="90"/>
      <c r="U151" s="303"/>
      <c r="V151" s="303"/>
    </row>
    <row r="152" spans="1:22">
      <c r="A152" s="284">
        <v>49</v>
      </c>
      <c r="B152" s="285"/>
      <c r="D152" s="288"/>
      <c r="G152" s="289"/>
      <c r="H152" s="289"/>
      <c r="I152" s="296"/>
      <c r="K152" s="288"/>
      <c r="M152" s="288"/>
      <c r="P152" s="288"/>
      <c r="S152" s="292"/>
      <c r="T152" s="293"/>
      <c r="U152" s="294"/>
      <c r="V152" s="294"/>
    </row>
    <row r="153" spans="1:22">
      <c r="A153" s="284"/>
      <c r="B153" s="285"/>
      <c r="D153" s="295"/>
      <c r="G153" s="289"/>
      <c r="H153" s="289"/>
      <c r="I153" s="296"/>
      <c r="K153" s="288"/>
      <c r="M153" s="288"/>
      <c r="P153" s="288"/>
      <c r="S153" s="292"/>
      <c r="T153" s="135"/>
      <c r="U153" s="297"/>
      <c r="V153" s="297"/>
    </row>
    <row r="154" spans="1:22">
      <c r="A154" s="298"/>
      <c r="B154" s="299"/>
      <c r="C154" s="58"/>
      <c r="D154" s="58"/>
      <c r="E154" s="58"/>
      <c r="F154" s="58"/>
      <c r="G154" s="300"/>
      <c r="H154" s="300"/>
      <c r="I154" s="301"/>
      <c r="J154" s="58"/>
      <c r="K154" s="302"/>
      <c r="L154" s="58"/>
      <c r="M154" s="302"/>
      <c r="N154" s="58"/>
      <c r="O154" s="58"/>
      <c r="P154" s="302"/>
      <c r="Q154" s="58"/>
      <c r="R154" s="58"/>
      <c r="S154" s="211"/>
      <c r="T154" s="90"/>
      <c r="U154" s="303"/>
      <c r="V154" s="303"/>
    </row>
    <row r="155" spans="1:22">
      <c r="A155" s="284">
        <v>50</v>
      </c>
      <c r="B155" s="285"/>
      <c r="D155" s="288"/>
      <c r="G155" s="289"/>
      <c r="H155" s="289"/>
      <c r="I155" s="296"/>
      <c r="K155" s="288"/>
      <c r="M155" s="288"/>
      <c r="P155" s="288"/>
      <c r="S155" s="292"/>
      <c r="T155" s="293"/>
      <c r="U155" s="294"/>
      <c r="V155" s="294"/>
    </row>
    <row r="156" spans="1:22">
      <c r="A156" s="284"/>
      <c r="B156" s="285"/>
      <c r="D156" s="295"/>
      <c r="G156" s="289"/>
      <c r="H156" s="289"/>
      <c r="I156" s="296"/>
      <c r="K156" s="288"/>
      <c r="M156" s="288"/>
      <c r="P156" s="288"/>
      <c r="S156" s="292"/>
      <c r="T156" s="135"/>
      <c r="U156" s="297"/>
      <c r="V156" s="297"/>
    </row>
    <row r="157" spans="1:22">
      <c r="A157" s="298"/>
      <c r="B157" s="299"/>
      <c r="C157" s="58"/>
      <c r="D157" s="58"/>
      <c r="E157" s="58"/>
      <c r="F157" s="58"/>
      <c r="G157" s="300"/>
      <c r="H157" s="300"/>
      <c r="I157" s="301"/>
      <c r="J157" s="58"/>
      <c r="K157" s="302"/>
      <c r="L157" s="58"/>
      <c r="M157" s="302"/>
      <c r="N157" s="58"/>
      <c r="O157" s="58"/>
      <c r="P157" s="302"/>
      <c r="Q157" s="58"/>
      <c r="R157" s="58"/>
      <c r="S157" s="211"/>
      <c r="T157" s="90"/>
      <c r="U157" s="303"/>
      <c r="V157" s="303"/>
    </row>
    <row r="170" spans="77:77">
      <c r="BY170" s="305" t="s">
        <v>107</v>
      </c>
    </row>
  </sheetData>
  <mergeCells count="1002">
    <mergeCell ref="A1:S1"/>
    <mergeCell ref="A2:B2"/>
    <mergeCell ref="C2:E2"/>
    <mergeCell ref="G2:H2"/>
    <mergeCell ref="J2:N2"/>
    <mergeCell ref="A3:B3"/>
    <mergeCell ref="C3:D3"/>
    <mergeCell ref="H3:J3"/>
    <mergeCell ref="L3:N3"/>
    <mergeCell ref="P3:S3"/>
    <mergeCell ref="A4:D4"/>
    <mergeCell ref="E4:F4"/>
    <mergeCell ref="G4:I4"/>
    <mergeCell ref="K4:N4"/>
    <mergeCell ref="O4:S4"/>
    <mergeCell ref="A5:B5"/>
    <mergeCell ref="G5:J5"/>
    <mergeCell ref="L5:N5"/>
    <mergeCell ref="O5:P5"/>
    <mergeCell ref="Q5:S5"/>
    <mergeCell ref="A6:D6"/>
    <mergeCell ref="E6:F6"/>
    <mergeCell ref="G6:J6"/>
    <mergeCell ref="K6:N6"/>
    <mergeCell ref="O6:S6"/>
    <mergeCell ref="A7:B7"/>
    <mergeCell ref="C7:D7"/>
    <mergeCell ref="H7:J7"/>
    <mergeCell ref="L7:N7"/>
    <mergeCell ref="P7:S7"/>
    <mergeCell ref="A8:D8"/>
    <mergeCell ref="E8:F8"/>
    <mergeCell ref="G8:I8"/>
    <mergeCell ref="K8:N8"/>
    <mergeCell ref="O8:S8"/>
    <mergeCell ref="A9:B9"/>
    <mergeCell ref="C9:D9"/>
    <mergeCell ref="H9:J9"/>
    <mergeCell ref="L9:N9"/>
    <mergeCell ref="P9:S9"/>
    <mergeCell ref="A10:D10"/>
    <mergeCell ref="E10:F10"/>
    <mergeCell ref="G10:J10"/>
    <mergeCell ref="K10:N10"/>
    <mergeCell ref="O10:S10"/>
    <mergeCell ref="A11:B11"/>
    <mergeCell ref="C11:D11"/>
    <mergeCell ref="G11:H11"/>
    <mergeCell ref="L11:M11"/>
    <mergeCell ref="O11:P11"/>
    <mergeCell ref="R11:S11"/>
    <mergeCell ref="A12:D12"/>
    <mergeCell ref="G12:H12"/>
    <mergeCell ref="I12:J12"/>
    <mergeCell ref="K12:M12"/>
    <mergeCell ref="N12:P12"/>
    <mergeCell ref="Q12:S12"/>
    <mergeCell ref="T12:V12"/>
    <mergeCell ref="C13:S13"/>
    <mergeCell ref="T13:V13"/>
    <mergeCell ref="A14:C14"/>
    <mergeCell ref="D14:S14"/>
    <mergeCell ref="T14:V14"/>
    <mergeCell ref="C15:S15"/>
    <mergeCell ref="T15:V15"/>
    <mergeCell ref="W15:AB15"/>
    <mergeCell ref="B16:S16"/>
    <mergeCell ref="T16:V16"/>
    <mergeCell ref="W16:AB16"/>
    <mergeCell ref="A17:K17"/>
    <mergeCell ref="L17:N17"/>
    <mergeCell ref="O17:S17"/>
    <mergeCell ref="F18:G18"/>
    <mergeCell ref="I18:J18"/>
    <mergeCell ref="L18:S18"/>
    <mergeCell ref="B19:C19"/>
    <mergeCell ref="D19:F19"/>
    <mergeCell ref="G19:H19"/>
    <mergeCell ref="I19:J19"/>
    <mergeCell ref="K19:L19"/>
    <mergeCell ref="M19:O19"/>
    <mergeCell ref="P19:R19"/>
    <mergeCell ref="B20:C20"/>
    <mergeCell ref="D20:F20"/>
    <mergeCell ref="I20:J20"/>
    <mergeCell ref="K20:L20"/>
    <mergeCell ref="M20:O20"/>
    <mergeCell ref="P20:R20"/>
    <mergeCell ref="B21:C21"/>
    <mergeCell ref="I21:J21"/>
    <mergeCell ref="K21:L21"/>
    <mergeCell ref="M21:O21"/>
    <mergeCell ref="P21:R21"/>
    <mergeCell ref="B22:C22"/>
    <mergeCell ref="I22:J22"/>
    <mergeCell ref="K22:L22"/>
    <mergeCell ref="M22:O22"/>
    <mergeCell ref="P22:R22"/>
    <mergeCell ref="B23:C23"/>
    <mergeCell ref="D23:F23"/>
    <mergeCell ref="I23:J23"/>
    <mergeCell ref="K23:L23"/>
    <mergeCell ref="M23:O23"/>
    <mergeCell ref="P23:R23"/>
    <mergeCell ref="B24:C24"/>
    <mergeCell ref="I24:J24"/>
    <mergeCell ref="K24:L24"/>
    <mergeCell ref="M24:O24"/>
    <mergeCell ref="P24:R24"/>
    <mergeCell ref="B25:C25"/>
    <mergeCell ref="I25:J25"/>
    <mergeCell ref="K25:L25"/>
    <mergeCell ref="M25:O25"/>
    <mergeCell ref="P25:R25"/>
    <mergeCell ref="B26:C26"/>
    <mergeCell ref="D26:F26"/>
    <mergeCell ref="I26:J26"/>
    <mergeCell ref="K26:L26"/>
    <mergeCell ref="M26:O26"/>
    <mergeCell ref="P26:R26"/>
    <mergeCell ref="B27:C27"/>
    <mergeCell ref="I27:J27"/>
    <mergeCell ref="K27:L27"/>
    <mergeCell ref="M27:O27"/>
    <mergeCell ref="P27:R27"/>
    <mergeCell ref="B28:C28"/>
    <mergeCell ref="I28:J28"/>
    <mergeCell ref="K28:L28"/>
    <mergeCell ref="M28:O28"/>
    <mergeCell ref="P28:R28"/>
    <mergeCell ref="B29:C29"/>
    <mergeCell ref="D29:F29"/>
    <mergeCell ref="I29:J29"/>
    <mergeCell ref="K29:L29"/>
    <mergeCell ref="M29:O29"/>
    <mergeCell ref="P29:R29"/>
    <mergeCell ref="B30:C30"/>
    <mergeCell ref="I30:J30"/>
    <mergeCell ref="K30:L30"/>
    <mergeCell ref="M30:O30"/>
    <mergeCell ref="P30:R30"/>
    <mergeCell ref="B31:C31"/>
    <mergeCell ref="I31:J31"/>
    <mergeCell ref="K31:L31"/>
    <mergeCell ref="M31:O31"/>
    <mergeCell ref="P31:R31"/>
    <mergeCell ref="B32:C32"/>
    <mergeCell ref="D32:F32"/>
    <mergeCell ref="I32:J32"/>
    <mergeCell ref="K32:L32"/>
    <mergeCell ref="M32:O32"/>
    <mergeCell ref="P32:R32"/>
    <mergeCell ref="B33:C33"/>
    <mergeCell ref="I33:J33"/>
    <mergeCell ref="K33:L33"/>
    <mergeCell ref="M33:O33"/>
    <mergeCell ref="P33:R33"/>
    <mergeCell ref="B34:C34"/>
    <mergeCell ref="I34:J34"/>
    <mergeCell ref="K34:L34"/>
    <mergeCell ref="M34:O34"/>
    <mergeCell ref="P34:R34"/>
    <mergeCell ref="B35:C35"/>
    <mergeCell ref="D35:F35"/>
    <mergeCell ref="I35:J35"/>
    <mergeCell ref="K35:L35"/>
    <mergeCell ref="M35:O35"/>
    <mergeCell ref="P35:R35"/>
    <mergeCell ref="B36:C36"/>
    <mergeCell ref="I36:J36"/>
    <mergeCell ref="K36:L36"/>
    <mergeCell ref="M36:O36"/>
    <mergeCell ref="P36:R36"/>
    <mergeCell ref="B37:C37"/>
    <mergeCell ref="I37:J37"/>
    <mergeCell ref="K37:L37"/>
    <mergeCell ref="M37:O37"/>
    <mergeCell ref="P37:R37"/>
    <mergeCell ref="B38:C38"/>
    <mergeCell ref="D38:F38"/>
    <mergeCell ref="I38:J38"/>
    <mergeCell ref="K38:L38"/>
    <mergeCell ref="M38:O38"/>
    <mergeCell ref="P38:R38"/>
    <mergeCell ref="B39:C39"/>
    <mergeCell ref="I39:J39"/>
    <mergeCell ref="K39:L39"/>
    <mergeCell ref="M39:O39"/>
    <mergeCell ref="P39:R39"/>
    <mergeCell ref="B40:C40"/>
    <mergeCell ref="I40:J40"/>
    <mergeCell ref="K40:L40"/>
    <mergeCell ref="M40:O40"/>
    <mergeCell ref="P40:R40"/>
    <mergeCell ref="B41:C41"/>
    <mergeCell ref="D41:F41"/>
    <mergeCell ref="I41:J41"/>
    <mergeCell ref="K41:L41"/>
    <mergeCell ref="M41:O41"/>
    <mergeCell ref="P41:R41"/>
    <mergeCell ref="B42:C42"/>
    <mergeCell ref="I42:J42"/>
    <mergeCell ref="K42:L42"/>
    <mergeCell ref="M42:O42"/>
    <mergeCell ref="P42:R42"/>
    <mergeCell ref="B43:C43"/>
    <mergeCell ref="I43:J43"/>
    <mergeCell ref="K43:L43"/>
    <mergeCell ref="M43:O43"/>
    <mergeCell ref="P43:R43"/>
    <mergeCell ref="B44:C44"/>
    <mergeCell ref="D44:F44"/>
    <mergeCell ref="I44:J44"/>
    <mergeCell ref="K44:L44"/>
    <mergeCell ref="M44:O44"/>
    <mergeCell ref="P44:R44"/>
    <mergeCell ref="B45:C45"/>
    <mergeCell ref="I45:J45"/>
    <mergeCell ref="K45:L45"/>
    <mergeCell ref="M45:O45"/>
    <mergeCell ref="P45:R45"/>
    <mergeCell ref="B46:C46"/>
    <mergeCell ref="I46:J46"/>
    <mergeCell ref="K46:L46"/>
    <mergeCell ref="M46:O46"/>
    <mergeCell ref="P46:R46"/>
    <mergeCell ref="B47:C47"/>
    <mergeCell ref="D47:F47"/>
    <mergeCell ref="I47:J47"/>
    <mergeCell ref="K47:L47"/>
    <mergeCell ref="M47:O47"/>
    <mergeCell ref="P47:R47"/>
    <mergeCell ref="B48:C48"/>
    <mergeCell ref="I48:J48"/>
    <mergeCell ref="K48:L48"/>
    <mergeCell ref="M48:O48"/>
    <mergeCell ref="P48:R48"/>
    <mergeCell ref="B49:C49"/>
    <mergeCell ref="I49:J49"/>
    <mergeCell ref="K49:L49"/>
    <mergeCell ref="M49:O49"/>
    <mergeCell ref="P49:R49"/>
    <mergeCell ref="B50:C50"/>
    <mergeCell ref="D50:F50"/>
    <mergeCell ref="I50:J50"/>
    <mergeCell ref="K50:L50"/>
    <mergeCell ref="M50:O50"/>
    <mergeCell ref="P50:R50"/>
    <mergeCell ref="B51:C51"/>
    <mergeCell ref="I51:J51"/>
    <mergeCell ref="K51:L51"/>
    <mergeCell ref="M51:O51"/>
    <mergeCell ref="P51:R51"/>
    <mergeCell ref="B52:C52"/>
    <mergeCell ref="I52:J52"/>
    <mergeCell ref="K52:L52"/>
    <mergeCell ref="M52:O52"/>
    <mergeCell ref="P52:R52"/>
    <mergeCell ref="B53:C53"/>
    <mergeCell ref="D53:F53"/>
    <mergeCell ref="I53:J53"/>
    <mergeCell ref="K53:L53"/>
    <mergeCell ref="M53:O53"/>
    <mergeCell ref="P53:R53"/>
    <mergeCell ref="B54:C54"/>
    <mergeCell ref="I54:J54"/>
    <mergeCell ref="K54:L54"/>
    <mergeCell ref="M54:O54"/>
    <mergeCell ref="P54:R54"/>
    <mergeCell ref="B55:C55"/>
    <mergeCell ref="I55:J55"/>
    <mergeCell ref="K55:L55"/>
    <mergeCell ref="M55:O55"/>
    <mergeCell ref="P55:R55"/>
    <mergeCell ref="B56:C56"/>
    <mergeCell ref="D56:F56"/>
    <mergeCell ref="I56:J56"/>
    <mergeCell ref="K56:L56"/>
    <mergeCell ref="M56:O56"/>
    <mergeCell ref="P56:R56"/>
    <mergeCell ref="B57:C57"/>
    <mergeCell ref="I57:J57"/>
    <mergeCell ref="K57:L57"/>
    <mergeCell ref="M57:O57"/>
    <mergeCell ref="P57:R57"/>
    <mergeCell ref="B58:C58"/>
    <mergeCell ref="I58:J58"/>
    <mergeCell ref="K58:L58"/>
    <mergeCell ref="M58:O58"/>
    <mergeCell ref="P58:R58"/>
    <mergeCell ref="B59:C59"/>
    <mergeCell ref="D59:F59"/>
    <mergeCell ref="I59:J59"/>
    <mergeCell ref="K59:L59"/>
    <mergeCell ref="M59:O59"/>
    <mergeCell ref="P59:R59"/>
    <mergeCell ref="B60:C60"/>
    <mergeCell ref="I60:J60"/>
    <mergeCell ref="K60:L60"/>
    <mergeCell ref="M60:O60"/>
    <mergeCell ref="P60:R60"/>
    <mergeCell ref="B61:C61"/>
    <mergeCell ref="I61:J61"/>
    <mergeCell ref="K61:L61"/>
    <mergeCell ref="M61:O61"/>
    <mergeCell ref="P61:R61"/>
    <mergeCell ref="B62:C62"/>
    <mergeCell ref="D62:F62"/>
    <mergeCell ref="I62:J62"/>
    <mergeCell ref="K62:L62"/>
    <mergeCell ref="M62:O62"/>
    <mergeCell ref="P62:R62"/>
    <mergeCell ref="B63:C63"/>
    <mergeCell ref="I63:J63"/>
    <mergeCell ref="K63:L63"/>
    <mergeCell ref="M63:O63"/>
    <mergeCell ref="P63:R63"/>
    <mergeCell ref="B64:C64"/>
    <mergeCell ref="I64:J64"/>
    <mergeCell ref="K64:L64"/>
    <mergeCell ref="M64:O64"/>
    <mergeCell ref="P64:R64"/>
    <mergeCell ref="B65:C65"/>
    <mergeCell ref="D65:F65"/>
    <mergeCell ref="I65:J65"/>
    <mergeCell ref="K65:L65"/>
    <mergeCell ref="M65:O65"/>
    <mergeCell ref="P65:R65"/>
    <mergeCell ref="B66:C66"/>
    <mergeCell ref="I66:J66"/>
    <mergeCell ref="K66:L66"/>
    <mergeCell ref="M66:O66"/>
    <mergeCell ref="P66:R66"/>
    <mergeCell ref="B67:C67"/>
    <mergeCell ref="I67:J67"/>
    <mergeCell ref="K67:L67"/>
    <mergeCell ref="M67:O67"/>
    <mergeCell ref="P67:R67"/>
    <mergeCell ref="B68:C68"/>
    <mergeCell ref="D68:F68"/>
    <mergeCell ref="I68:J68"/>
    <mergeCell ref="K68:L68"/>
    <mergeCell ref="M68:O68"/>
    <mergeCell ref="P68:R68"/>
    <mergeCell ref="B69:C69"/>
    <mergeCell ref="I69:J69"/>
    <mergeCell ref="K69:L69"/>
    <mergeCell ref="M69:O69"/>
    <mergeCell ref="P69:R69"/>
    <mergeCell ref="B70:C70"/>
    <mergeCell ref="I70:J70"/>
    <mergeCell ref="K70:L70"/>
    <mergeCell ref="M70:O70"/>
    <mergeCell ref="P70:R70"/>
    <mergeCell ref="B71:C71"/>
    <mergeCell ref="D71:F71"/>
    <mergeCell ref="I71:J71"/>
    <mergeCell ref="K71:L71"/>
    <mergeCell ref="M71:O71"/>
    <mergeCell ref="P71:R71"/>
    <mergeCell ref="B72:C72"/>
    <mergeCell ref="I72:J72"/>
    <mergeCell ref="K72:L72"/>
    <mergeCell ref="M72:O72"/>
    <mergeCell ref="P72:R72"/>
    <mergeCell ref="B73:C73"/>
    <mergeCell ref="I73:J73"/>
    <mergeCell ref="K73:L73"/>
    <mergeCell ref="M73:O73"/>
    <mergeCell ref="P73:R73"/>
    <mergeCell ref="B74:C74"/>
    <mergeCell ref="D74:F74"/>
    <mergeCell ref="I74:J74"/>
    <mergeCell ref="K74:L74"/>
    <mergeCell ref="M74:O74"/>
    <mergeCell ref="P74:R74"/>
    <mergeCell ref="B75:C75"/>
    <mergeCell ref="I75:J75"/>
    <mergeCell ref="K75:L75"/>
    <mergeCell ref="M75:O75"/>
    <mergeCell ref="P75:R75"/>
    <mergeCell ref="B76:C76"/>
    <mergeCell ref="I76:J76"/>
    <mergeCell ref="K76:L76"/>
    <mergeCell ref="M76:O76"/>
    <mergeCell ref="P76:R76"/>
    <mergeCell ref="B77:C77"/>
    <mergeCell ref="D77:F77"/>
    <mergeCell ref="I77:J77"/>
    <mergeCell ref="K77:L77"/>
    <mergeCell ref="M77:O77"/>
    <mergeCell ref="P77:R77"/>
    <mergeCell ref="B78:C78"/>
    <mergeCell ref="I78:J78"/>
    <mergeCell ref="K78:L78"/>
    <mergeCell ref="M78:O78"/>
    <mergeCell ref="P78:R78"/>
    <mergeCell ref="B79:C79"/>
    <mergeCell ref="I79:J79"/>
    <mergeCell ref="K79:L79"/>
    <mergeCell ref="M79:O79"/>
    <mergeCell ref="P79:R79"/>
    <mergeCell ref="B80:C80"/>
    <mergeCell ref="D80:F80"/>
    <mergeCell ref="I80:J80"/>
    <mergeCell ref="K80:L80"/>
    <mergeCell ref="M80:O80"/>
    <mergeCell ref="P80:R80"/>
    <mergeCell ref="B81:C81"/>
    <mergeCell ref="I81:J81"/>
    <mergeCell ref="K81:L81"/>
    <mergeCell ref="M81:O81"/>
    <mergeCell ref="P81:R81"/>
    <mergeCell ref="B82:C82"/>
    <mergeCell ref="I82:J82"/>
    <mergeCell ref="K82:L82"/>
    <mergeCell ref="M82:O82"/>
    <mergeCell ref="P82:R82"/>
    <mergeCell ref="B83:C83"/>
    <mergeCell ref="D83:F83"/>
    <mergeCell ref="I83:J83"/>
    <mergeCell ref="K83:L83"/>
    <mergeCell ref="M83:O83"/>
    <mergeCell ref="P83:R83"/>
    <mergeCell ref="B84:C84"/>
    <mergeCell ref="I84:J84"/>
    <mergeCell ref="K84:L84"/>
    <mergeCell ref="M84:O84"/>
    <mergeCell ref="P84:R84"/>
    <mergeCell ref="B85:C85"/>
    <mergeCell ref="I85:J85"/>
    <mergeCell ref="K85:L85"/>
    <mergeCell ref="M85:O85"/>
    <mergeCell ref="P85:R85"/>
    <mergeCell ref="B86:C86"/>
    <mergeCell ref="D86:F86"/>
    <mergeCell ref="I86:J86"/>
    <mergeCell ref="K86:L86"/>
    <mergeCell ref="M86:O86"/>
    <mergeCell ref="P86:R86"/>
    <mergeCell ref="B87:C87"/>
    <mergeCell ref="I87:J87"/>
    <mergeCell ref="K87:L87"/>
    <mergeCell ref="M87:O87"/>
    <mergeCell ref="P87:R87"/>
    <mergeCell ref="B88:C88"/>
    <mergeCell ref="I88:J88"/>
    <mergeCell ref="K88:L88"/>
    <mergeCell ref="M88:O88"/>
    <mergeCell ref="P88:R88"/>
    <mergeCell ref="B89:C89"/>
    <mergeCell ref="D89:F89"/>
    <mergeCell ref="I89:J89"/>
    <mergeCell ref="K89:L89"/>
    <mergeCell ref="M89:O89"/>
    <mergeCell ref="P89:R89"/>
    <mergeCell ref="B90:C90"/>
    <mergeCell ref="I90:J90"/>
    <mergeCell ref="K90:L90"/>
    <mergeCell ref="M90:O90"/>
    <mergeCell ref="P90:R90"/>
    <mergeCell ref="B91:C91"/>
    <mergeCell ref="I91:J91"/>
    <mergeCell ref="K91:L91"/>
    <mergeCell ref="M91:O91"/>
    <mergeCell ref="P91:R91"/>
    <mergeCell ref="B92:C92"/>
    <mergeCell ref="D92:F92"/>
    <mergeCell ref="I92:J92"/>
    <mergeCell ref="K92:L92"/>
    <mergeCell ref="M92:O92"/>
    <mergeCell ref="P92:R92"/>
    <mergeCell ref="B93:C93"/>
    <mergeCell ref="I93:J93"/>
    <mergeCell ref="K93:L93"/>
    <mergeCell ref="M93:O93"/>
    <mergeCell ref="P93:R93"/>
    <mergeCell ref="B94:C94"/>
    <mergeCell ref="I94:J94"/>
    <mergeCell ref="K94:L94"/>
    <mergeCell ref="M94:O94"/>
    <mergeCell ref="P94:R94"/>
    <mergeCell ref="B95:C95"/>
    <mergeCell ref="D95:F95"/>
    <mergeCell ref="I95:J95"/>
    <mergeCell ref="K95:L95"/>
    <mergeCell ref="M95:O95"/>
    <mergeCell ref="P95:R95"/>
    <mergeCell ref="B96:C96"/>
    <mergeCell ref="I96:J96"/>
    <mergeCell ref="K96:L96"/>
    <mergeCell ref="M96:O96"/>
    <mergeCell ref="P96:R96"/>
    <mergeCell ref="B97:C97"/>
    <mergeCell ref="I97:J97"/>
    <mergeCell ref="K97:L97"/>
    <mergeCell ref="M97:O97"/>
    <mergeCell ref="P97:R97"/>
    <mergeCell ref="B98:C98"/>
    <mergeCell ref="D98:F98"/>
    <mergeCell ref="I98:J98"/>
    <mergeCell ref="K98:L98"/>
    <mergeCell ref="M98:O98"/>
    <mergeCell ref="P98:R98"/>
    <mergeCell ref="B99:C99"/>
    <mergeCell ref="I99:J99"/>
    <mergeCell ref="K99:L99"/>
    <mergeCell ref="M99:O99"/>
    <mergeCell ref="P99:R99"/>
    <mergeCell ref="B100:C100"/>
    <mergeCell ref="I100:J100"/>
    <mergeCell ref="K100:L100"/>
    <mergeCell ref="M100:O100"/>
    <mergeCell ref="P100:R100"/>
    <mergeCell ref="B101:C101"/>
    <mergeCell ref="D101:F101"/>
    <mergeCell ref="I101:J101"/>
    <mergeCell ref="K101:L101"/>
    <mergeCell ref="M101:O101"/>
    <mergeCell ref="P101:R101"/>
    <mergeCell ref="B102:C102"/>
    <mergeCell ref="I102:J102"/>
    <mergeCell ref="K102:L102"/>
    <mergeCell ref="M102:O102"/>
    <mergeCell ref="P102:R102"/>
    <mergeCell ref="B103:C103"/>
    <mergeCell ref="I103:J103"/>
    <mergeCell ref="K103:L103"/>
    <mergeCell ref="M103:O103"/>
    <mergeCell ref="P103:R103"/>
    <mergeCell ref="B104:C104"/>
    <mergeCell ref="D104:F104"/>
    <mergeCell ref="I104:J104"/>
    <mergeCell ref="K104:L104"/>
    <mergeCell ref="M104:O104"/>
    <mergeCell ref="P104:R104"/>
    <mergeCell ref="B105:C105"/>
    <mergeCell ref="I105:J105"/>
    <mergeCell ref="K105:L105"/>
    <mergeCell ref="M105:O105"/>
    <mergeCell ref="P105:R105"/>
    <mergeCell ref="B106:C106"/>
    <mergeCell ref="I106:J106"/>
    <mergeCell ref="K106:L106"/>
    <mergeCell ref="M106:O106"/>
    <mergeCell ref="P106:R106"/>
    <mergeCell ref="B107:C107"/>
    <mergeCell ref="D107:F107"/>
    <mergeCell ref="I107:J107"/>
    <mergeCell ref="K107:L107"/>
    <mergeCell ref="M107:O107"/>
    <mergeCell ref="P107:R107"/>
    <mergeCell ref="B108:C108"/>
    <mergeCell ref="I108:J108"/>
    <mergeCell ref="K108:L108"/>
    <mergeCell ref="M108:O108"/>
    <mergeCell ref="P108:R108"/>
    <mergeCell ref="B109:C109"/>
    <mergeCell ref="I109:J109"/>
    <mergeCell ref="K109:L109"/>
    <mergeCell ref="M109:O109"/>
    <mergeCell ref="P109:R109"/>
    <mergeCell ref="B110:C110"/>
    <mergeCell ref="D110:F110"/>
    <mergeCell ref="I110:J110"/>
    <mergeCell ref="K110:L110"/>
    <mergeCell ref="M110:O110"/>
    <mergeCell ref="P110:R110"/>
    <mergeCell ref="B111:C111"/>
    <mergeCell ref="I111:J111"/>
    <mergeCell ref="K111:L111"/>
    <mergeCell ref="M111:O111"/>
    <mergeCell ref="P111:R111"/>
    <mergeCell ref="B112:C112"/>
    <mergeCell ref="I112:J112"/>
    <mergeCell ref="K112:L112"/>
    <mergeCell ref="M112:O112"/>
    <mergeCell ref="P112:R112"/>
    <mergeCell ref="B113:C113"/>
    <mergeCell ref="D113:F113"/>
    <mergeCell ref="I113:J113"/>
    <mergeCell ref="K113:L113"/>
    <mergeCell ref="M113:O113"/>
    <mergeCell ref="P113:R113"/>
    <mergeCell ref="B114:C114"/>
    <mergeCell ref="I114:J114"/>
    <mergeCell ref="K114:L114"/>
    <mergeCell ref="M114:O114"/>
    <mergeCell ref="P114:R114"/>
    <mergeCell ref="B115:C115"/>
    <mergeCell ref="I115:J115"/>
    <mergeCell ref="K115:L115"/>
    <mergeCell ref="M115:O115"/>
    <mergeCell ref="P115:R115"/>
    <mergeCell ref="B116:C116"/>
    <mergeCell ref="D116:F116"/>
    <mergeCell ref="I116:J116"/>
    <mergeCell ref="K116:L116"/>
    <mergeCell ref="M116:O116"/>
    <mergeCell ref="P116:R116"/>
    <mergeCell ref="B117:C117"/>
    <mergeCell ref="I117:J117"/>
    <mergeCell ref="K117:L117"/>
    <mergeCell ref="M117:O117"/>
    <mergeCell ref="P117:R117"/>
    <mergeCell ref="B118:C118"/>
    <mergeCell ref="I118:J118"/>
    <mergeCell ref="K118:L118"/>
    <mergeCell ref="M118:O118"/>
    <mergeCell ref="P118:R118"/>
    <mergeCell ref="B119:C119"/>
    <mergeCell ref="D119:F119"/>
    <mergeCell ref="I119:J119"/>
    <mergeCell ref="K119:L119"/>
    <mergeCell ref="M119:O119"/>
    <mergeCell ref="P119:R119"/>
    <mergeCell ref="B120:C120"/>
    <mergeCell ref="I120:J120"/>
    <mergeCell ref="K120:L120"/>
    <mergeCell ref="M120:O120"/>
    <mergeCell ref="P120:R120"/>
    <mergeCell ref="B121:C121"/>
    <mergeCell ref="I121:J121"/>
    <mergeCell ref="K121:L121"/>
    <mergeCell ref="M121:O121"/>
    <mergeCell ref="P121:R121"/>
    <mergeCell ref="B122:C122"/>
    <mergeCell ref="D122:F122"/>
    <mergeCell ref="I122:J122"/>
    <mergeCell ref="K122:L122"/>
    <mergeCell ref="M122:O122"/>
    <mergeCell ref="P122:R122"/>
    <mergeCell ref="B123:C123"/>
    <mergeCell ref="I123:J123"/>
    <mergeCell ref="K123:L123"/>
    <mergeCell ref="M123:O123"/>
    <mergeCell ref="P123:R123"/>
    <mergeCell ref="B124:C124"/>
    <mergeCell ref="I124:J124"/>
    <mergeCell ref="K124:L124"/>
    <mergeCell ref="M124:O124"/>
    <mergeCell ref="P124:R124"/>
    <mergeCell ref="B125:C125"/>
    <mergeCell ref="D125:F125"/>
    <mergeCell ref="I125:J125"/>
    <mergeCell ref="K125:L125"/>
    <mergeCell ref="M125:O125"/>
    <mergeCell ref="P125:R125"/>
    <mergeCell ref="B126:C126"/>
    <mergeCell ref="I126:J126"/>
    <mergeCell ref="K126:L126"/>
    <mergeCell ref="M126:O126"/>
    <mergeCell ref="P126:R126"/>
    <mergeCell ref="B127:C127"/>
    <mergeCell ref="I127:J127"/>
    <mergeCell ref="K127:L127"/>
    <mergeCell ref="M127:O127"/>
    <mergeCell ref="P127:R127"/>
    <mergeCell ref="B128:C128"/>
    <mergeCell ref="D128:F128"/>
    <mergeCell ref="I128:J128"/>
    <mergeCell ref="K128:L128"/>
    <mergeCell ref="M128:O128"/>
    <mergeCell ref="P128:R128"/>
    <mergeCell ref="B129:C129"/>
    <mergeCell ref="I129:J129"/>
    <mergeCell ref="K129:L129"/>
    <mergeCell ref="M129:O129"/>
    <mergeCell ref="P129:R129"/>
    <mergeCell ref="B130:C130"/>
    <mergeCell ref="I130:J130"/>
    <mergeCell ref="K130:L130"/>
    <mergeCell ref="M130:O130"/>
    <mergeCell ref="P130:R130"/>
    <mergeCell ref="B131:C131"/>
    <mergeCell ref="D131:F131"/>
    <mergeCell ref="I131:J131"/>
    <mergeCell ref="K131:L131"/>
    <mergeCell ref="M131:O131"/>
    <mergeCell ref="P131:R131"/>
    <mergeCell ref="B132:C132"/>
    <mergeCell ref="I132:J132"/>
    <mergeCell ref="K132:L132"/>
    <mergeCell ref="M132:O132"/>
    <mergeCell ref="P132:R132"/>
    <mergeCell ref="B133:C133"/>
    <mergeCell ref="I133:J133"/>
    <mergeCell ref="K133:L133"/>
    <mergeCell ref="M133:O133"/>
    <mergeCell ref="P133:R133"/>
    <mergeCell ref="B134:C134"/>
    <mergeCell ref="D134:F134"/>
    <mergeCell ref="I134:J134"/>
    <mergeCell ref="K134:L134"/>
    <mergeCell ref="M134:O134"/>
    <mergeCell ref="P134:R134"/>
    <mergeCell ref="B135:C135"/>
    <mergeCell ref="I135:J135"/>
    <mergeCell ref="K135:L135"/>
    <mergeCell ref="M135:O135"/>
    <mergeCell ref="P135:R135"/>
    <mergeCell ref="B136:C136"/>
    <mergeCell ref="I136:J136"/>
    <mergeCell ref="K136:L136"/>
    <mergeCell ref="M136:O136"/>
    <mergeCell ref="P136:R136"/>
    <mergeCell ref="B137:C137"/>
    <mergeCell ref="D137:F137"/>
    <mergeCell ref="I137:J137"/>
    <mergeCell ref="K137:L137"/>
    <mergeCell ref="M137:O137"/>
    <mergeCell ref="P137:R137"/>
    <mergeCell ref="B138:C138"/>
    <mergeCell ref="I138:J138"/>
    <mergeCell ref="K138:L138"/>
    <mergeCell ref="M138:O138"/>
    <mergeCell ref="P138:R138"/>
    <mergeCell ref="B139:C139"/>
    <mergeCell ref="I139:J139"/>
    <mergeCell ref="K139:L139"/>
    <mergeCell ref="M139:O139"/>
    <mergeCell ref="P139:R139"/>
    <mergeCell ref="B140:C140"/>
    <mergeCell ref="D140:F140"/>
    <mergeCell ref="I140:J140"/>
    <mergeCell ref="K140:L140"/>
    <mergeCell ref="M140:O140"/>
    <mergeCell ref="P140:R140"/>
    <mergeCell ref="B141:C141"/>
    <mergeCell ref="I141:J141"/>
    <mergeCell ref="K141:L141"/>
    <mergeCell ref="M141:O141"/>
    <mergeCell ref="P141:R141"/>
    <mergeCell ref="B142:C142"/>
    <mergeCell ref="I142:J142"/>
    <mergeCell ref="K142:L142"/>
    <mergeCell ref="M142:O142"/>
    <mergeCell ref="P142:R142"/>
    <mergeCell ref="B143:C143"/>
    <mergeCell ref="D143:F143"/>
    <mergeCell ref="I143:J143"/>
    <mergeCell ref="K143:L143"/>
    <mergeCell ref="M143:O143"/>
    <mergeCell ref="P143:R143"/>
    <mergeCell ref="B144:C144"/>
    <mergeCell ref="I144:J144"/>
    <mergeCell ref="K144:L144"/>
    <mergeCell ref="M144:O144"/>
    <mergeCell ref="P144:R144"/>
    <mergeCell ref="B145:C145"/>
    <mergeCell ref="I145:J145"/>
    <mergeCell ref="K145:L145"/>
    <mergeCell ref="M145:O145"/>
    <mergeCell ref="P145:R145"/>
    <mergeCell ref="B146:C146"/>
    <mergeCell ref="D146:F146"/>
    <mergeCell ref="I146:J146"/>
    <mergeCell ref="K146:L146"/>
    <mergeCell ref="M146:O146"/>
    <mergeCell ref="P146:R146"/>
    <mergeCell ref="B147:C147"/>
    <mergeCell ref="I147:J147"/>
    <mergeCell ref="K147:L147"/>
    <mergeCell ref="M147:O147"/>
    <mergeCell ref="P147:R147"/>
    <mergeCell ref="B148:C148"/>
    <mergeCell ref="I148:J148"/>
    <mergeCell ref="K148:L148"/>
    <mergeCell ref="M148:O148"/>
    <mergeCell ref="P148:R148"/>
    <mergeCell ref="B149:C149"/>
    <mergeCell ref="D149:F149"/>
    <mergeCell ref="I149:J149"/>
    <mergeCell ref="K149:L149"/>
    <mergeCell ref="M149:O149"/>
    <mergeCell ref="P149:R149"/>
    <mergeCell ref="B150:C150"/>
    <mergeCell ref="I150:J150"/>
    <mergeCell ref="K150:L150"/>
    <mergeCell ref="M150:O150"/>
    <mergeCell ref="P150:R150"/>
    <mergeCell ref="B151:C151"/>
    <mergeCell ref="I151:J151"/>
    <mergeCell ref="K151:L151"/>
    <mergeCell ref="M151:O151"/>
    <mergeCell ref="P151:R151"/>
    <mergeCell ref="B152:C152"/>
    <mergeCell ref="D152:F152"/>
    <mergeCell ref="I152:J152"/>
    <mergeCell ref="K152:L152"/>
    <mergeCell ref="M152:O152"/>
    <mergeCell ref="P152:R152"/>
    <mergeCell ref="B153:C153"/>
    <mergeCell ref="I153:J153"/>
    <mergeCell ref="K153:L153"/>
    <mergeCell ref="M153:O153"/>
    <mergeCell ref="P153:R153"/>
    <mergeCell ref="B154:C154"/>
    <mergeCell ref="I154:J154"/>
    <mergeCell ref="K154:L154"/>
    <mergeCell ref="M154:O154"/>
    <mergeCell ref="P154:R154"/>
    <mergeCell ref="B155:C155"/>
    <mergeCell ref="D155:F155"/>
    <mergeCell ref="I155:J155"/>
    <mergeCell ref="K155:L155"/>
    <mergeCell ref="M155:O155"/>
    <mergeCell ref="P155:R155"/>
    <mergeCell ref="B156:C156"/>
    <mergeCell ref="I156:J156"/>
    <mergeCell ref="K156:L156"/>
    <mergeCell ref="M156:O156"/>
    <mergeCell ref="P156:R156"/>
    <mergeCell ref="B157:C157"/>
    <mergeCell ref="I157:J157"/>
    <mergeCell ref="K157:L157"/>
    <mergeCell ref="M157:O157"/>
    <mergeCell ref="P157:R157"/>
    <mergeCell ref="T20:T22"/>
    <mergeCell ref="T23:T25"/>
    <mergeCell ref="T26:T28"/>
    <mergeCell ref="T29:T31"/>
    <mergeCell ref="T32:T34"/>
    <mergeCell ref="T35:T37"/>
    <mergeCell ref="T38:T40"/>
    <mergeCell ref="T41:T43"/>
    <mergeCell ref="T44:T46"/>
    <mergeCell ref="T47:T49"/>
    <mergeCell ref="T50:T52"/>
    <mergeCell ref="T53:T55"/>
    <mergeCell ref="T56:T58"/>
    <mergeCell ref="T59:T61"/>
    <mergeCell ref="T62:T64"/>
    <mergeCell ref="T65:T67"/>
    <mergeCell ref="T68:T70"/>
    <mergeCell ref="T71:T73"/>
    <mergeCell ref="T74:T76"/>
    <mergeCell ref="T77:T79"/>
    <mergeCell ref="T80:T82"/>
    <mergeCell ref="T83:T85"/>
    <mergeCell ref="T86:T88"/>
    <mergeCell ref="T89:T91"/>
    <mergeCell ref="T92:T94"/>
    <mergeCell ref="T95:T97"/>
    <mergeCell ref="T98:T100"/>
    <mergeCell ref="T101:T103"/>
    <mergeCell ref="T104:T106"/>
    <mergeCell ref="T107:T109"/>
    <mergeCell ref="T110:T112"/>
    <mergeCell ref="T113:T115"/>
    <mergeCell ref="T116:T118"/>
    <mergeCell ref="T119:T121"/>
    <mergeCell ref="T122:T124"/>
    <mergeCell ref="T125:T127"/>
    <mergeCell ref="T128:T130"/>
    <mergeCell ref="T131:T133"/>
    <mergeCell ref="T134:T136"/>
    <mergeCell ref="T137:T139"/>
    <mergeCell ref="T140:T142"/>
    <mergeCell ref="T143:T145"/>
    <mergeCell ref="T146:T148"/>
    <mergeCell ref="T149:T151"/>
    <mergeCell ref="T152:T154"/>
    <mergeCell ref="T155:T157"/>
    <mergeCell ref="U20:U22"/>
    <mergeCell ref="U23:U25"/>
    <mergeCell ref="U26:U28"/>
    <mergeCell ref="U29:U31"/>
    <mergeCell ref="U32:U34"/>
    <mergeCell ref="U35:U37"/>
    <mergeCell ref="U38:U40"/>
    <mergeCell ref="U41:U43"/>
    <mergeCell ref="U44:U46"/>
    <mergeCell ref="U47:U49"/>
    <mergeCell ref="U50:U52"/>
    <mergeCell ref="U53:U55"/>
    <mergeCell ref="U56:U58"/>
    <mergeCell ref="U59:U61"/>
    <mergeCell ref="U62:U64"/>
    <mergeCell ref="U65:U67"/>
    <mergeCell ref="U68:U70"/>
    <mergeCell ref="U71:U73"/>
    <mergeCell ref="U74:U76"/>
    <mergeCell ref="U77:U79"/>
    <mergeCell ref="U80:U82"/>
    <mergeCell ref="U83:U85"/>
    <mergeCell ref="U86:U88"/>
    <mergeCell ref="U89:U91"/>
    <mergeCell ref="U92:U94"/>
    <mergeCell ref="U95:U97"/>
    <mergeCell ref="U98:U100"/>
    <mergeCell ref="U101:U103"/>
    <mergeCell ref="U104:U106"/>
    <mergeCell ref="U107:U109"/>
    <mergeCell ref="U110:U112"/>
    <mergeCell ref="U113:U115"/>
    <mergeCell ref="U116:U118"/>
    <mergeCell ref="U119:U121"/>
    <mergeCell ref="U122:U124"/>
    <mergeCell ref="U125:U127"/>
    <mergeCell ref="U128:U130"/>
    <mergeCell ref="U131:U133"/>
    <mergeCell ref="U134:U136"/>
    <mergeCell ref="U137:U139"/>
    <mergeCell ref="U140:U142"/>
    <mergeCell ref="U143:U145"/>
    <mergeCell ref="U146:U148"/>
    <mergeCell ref="U149:U151"/>
    <mergeCell ref="U152:U154"/>
    <mergeCell ref="U155:U157"/>
    <mergeCell ref="V20:V22"/>
    <mergeCell ref="V23:V25"/>
    <mergeCell ref="V26:V28"/>
    <mergeCell ref="V29:V31"/>
    <mergeCell ref="V32:V34"/>
    <mergeCell ref="V35:V37"/>
    <mergeCell ref="V38:V40"/>
    <mergeCell ref="V41:V43"/>
    <mergeCell ref="V44:V46"/>
    <mergeCell ref="V47:V49"/>
    <mergeCell ref="V50:V52"/>
    <mergeCell ref="V53:V55"/>
    <mergeCell ref="V56:V58"/>
    <mergeCell ref="V59:V61"/>
    <mergeCell ref="V62:V64"/>
    <mergeCell ref="V65:V67"/>
    <mergeCell ref="V68:V70"/>
    <mergeCell ref="V71:V73"/>
    <mergeCell ref="V74:V76"/>
    <mergeCell ref="V77:V79"/>
    <mergeCell ref="V80:V82"/>
    <mergeCell ref="V83:V85"/>
    <mergeCell ref="V86:V88"/>
    <mergeCell ref="V89:V91"/>
    <mergeCell ref="V92:V94"/>
    <mergeCell ref="V95:V97"/>
    <mergeCell ref="V98:V100"/>
    <mergeCell ref="V101:V103"/>
    <mergeCell ref="V104:V106"/>
    <mergeCell ref="V107:V109"/>
    <mergeCell ref="V110:V112"/>
    <mergeCell ref="V113:V115"/>
    <mergeCell ref="V116:V118"/>
    <mergeCell ref="V119:V121"/>
    <mergeCell ref="V122:V124"/>
    <mergeCell ref="V125:V127"/>
    <mergeCell ref="V128:V130"/>
    <mergeCell ref="V131:V133"/>
    <mergeCell ref="V134:V136"/>
    <mergeCell ref="V137:V139"/>
    <mergeCell ref="V140:V142"/>
    <mergeCell ref="V143:V145"/>
    <mergeCell ref="V146:V148"/>
    <mergeCell ref="V149:V151"/>
    <mergeCell ref="V152:V154"/>
    <mergeCell ref="V155:V157"/>
    <mergeCell ref="D129:F130"/>
    <mergeCell ref="D60:F61"/>
    <mergeCell ref="D78:F79"/>
    <mergeCell ref="D126:F127"/>
    <mergeCell ref="D99:F100"/>
    <mergeCell ref="D30:F31"/>
    <mergeCell ref="D81:F82"/>
    <mergeCell ref="D105:F106"/>
    <mergeCell ref="D42:F43"/>
    <mergeCell ref="D120:F121"/>
    <mergeCell ref="D147:F148"/>
    <mergeCell ref="D108:F109"/>
    <mergeCell ref="D45:F46"/>
    <mergeCell ref="D63:F64"/>
    <mergeCell ref="D123:F124"/>
    <mergeCell ref="D27:F28"/>
    <mergeCell ref="D117:F118"/>
    <mergeCell ref="D66:F67"/>
    <mergeCell ref="D144:F145"/>
    <mergeCell ref="D138:F139"/>
    <mergeCell ref="D132:F133"/>
    <mergeCell ref="D69:F70"/>
    <mergeCell ref="D21:F22"/>
    <mergeCell ref="D87:F88"/>
    <mergeCell ref="D24:F25"/>
    <mergeCell ref="D153:F154"/>
    <mergeCell ref="D141:F142"/>
    <mergeCell ref="D135:F136"/>
    <mergeCell ref="D75:F76"/>
    <mergeCell ref="D72:F73"/>
    <mergeCell ref="D90:F91"/>
    <mergeCell ref="D156:F157"/>
    <mergeCell ref="D93:F94"/>
    <mergeCell ref="D96:F97"/>
    <mergeCell ref="D111:F112"/>
    <mergeCell ref="D48:F49"/>
    <mergeCell ref="D33:F34"/>
    <mergeCell ref="D84:F85"/>
    <mergeCell ref="D36:F37"/>
    <mergeCell ref="D150:F151"/>
    <mergeCell ref="D54:F55"/>
    <mergeCell ref="D114:F115"/>
    <mergeCell ref="D51:F52"/>
    <mergeCell ref="D102:F103"/>
    <mergeCell ref="D39:F40"/>
    <mergeCell ref="D57:F58"/>
  </mergeCells>
  <dataValidations count="1">
    <dataValidation type="list" allowBlank="1" sqref="B20 B23 B26 B29 B32 B35 B38 B41 B44 B47 B50 B53 B56 B59 B62 B65 B68 B71 B74 B77 B80 B83 B86 B89 B92 B95 B98 B101 B104 B107 B110 B113 B116 B119 B122 B125 B128 B131 B134 B137">
      <formula1>产品主数据!$A$2:$A$20</formula1>
    </dataValidation>
  </dataValidations>
  <hyperlinks>
    <hyperlink ref="T15" r:id="rId2" display="检疫局网址-编码查询：" tooltip="https://e-service.shciq.gov.cn/shesp/"/>
    <hyperlink ref="W15" r:id="rId2" display="https://e-service.shciq.gov.cn/shesp/" tooltip="https://e-service.shciq.gov.cn/shesp/"/>
    <hyperlink ref="T16" r:id="rId2" display="查申报要素网址：" tooltip="https://e-service.shciq.gov.cn/shesp/"/>
    <hyperlink ref="W16" r:id="rId3" display="http://www.hscode.net/IntegrateQueries/QueryYS/"/>
  </hyperlinks>
  <pageMargins left="0.16" right="0.04" top="0.16" bottom="0.08" header="0.08" footer="0.12"/>
  <pageSetup paperSize="9" scale="88" fitToHeight="0" orientation="landscape"/>
  <headerFooter/>
  <rowBreaks count="4" manualBreakCount="4">
    <brk id="31" max="18" man="1"/>
    <brk id="73" max="18" man="1"/>
    <brk id="115" max="18" man="1"/>
    <brk id="157" max="18" man="1"/>
  </rowBreaks>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0000"/>
    <pageSetUpPr fitToPage="1"/>
  </sheetPr>
  <dimension ref="A1:I10"/>
  <sheetViews>
    <sheetView showZeros="0" view="pageBreakPreview" zoomScaleNormal="100" workbookViewId="0">
      <selection activeCell="F20" sqref="F20"/>
    </sheetView>
  </sheetViews>
  <sheetFormatPr defaultColWidth="9" defaultRowHeight="15"/>
  <cols>
    <col min="1" max="1" width="9" style="75" customWidth="1"/>
    <col min="2" max="2" width="32.2" style="75" customWidth="1"/>
    <col min="3" max="3" width="14" style="75" customWidth="1"/>
    <col min="4" max="4" width="9.7" style="75" customWidth="1"/>
    <col min="5" max="5" width="10.6" style="75" customWidth="1"/>
    <col min="6" max="6" width="10.1" style="75" customWidth="1"/>
    <col min="7" max="7" width="10.4" style="75" customWidth="1"/>
    <col min="8" max="8" width="13.9" style="75" customWidth="1"/>
    <col min="9" max="9" width="30.9" style="75" customWidth="1"/>
    <col min="10" max="16384" width="9" style="117" customWidth="1"/>
  </cols>
  <sheetData>
    <row r="1" s="180" customFormat="1" spans="1:9">
      <c r="A1" s="182" t="s">
        <v>108</v>
      </c>
    </row>
    <row r="2" s="180" customFormat="1" spans="1:9">
      <c r="A2" s="183" t="s">
        <v>109</v>
      </c>
    </row>
    <row r="3" s="180" customFormat="1" spans="1:9">
      <c r="A3" s="180" t="s">
        <v>110</v>
      </c>
    </row>
    <row r="4" s="180" customFormat="1" spans="1:9">
      <c r="B4" s="184" t="s">
        <v>80</v>
      </c>
      <c r="C4" s="185" t="s">
        <v>80</v>
      </c>
    </row>
    <row r="5" s="180" customFormat="1" spans="1:9">
      <c r="A5" s="180" t="s">
        <v>111</v>
      </c>
      <c r="B5" s="184"/>
      <c r="C5" s="184" t="s">
        <v>83</v>
      </c>
    </row>
    <row r="6" s="180" customFormat="1"/>
    <row r="8" ht="25.8" customHeight="1" spans="1:9">
      <c r="A8" s="186" t="s">
        <v>112</v>
      </c>
    </row>
    <row r="9" s="181" customFormat="1" ht="12" customHeight="1" spans="1:9">
      <c r="A9" s="187" t="s">
        <v>113</v>
      </c>
      <c r="B9" s="187" t="s">
        <v>114</v>
      </c>
      <c r="C9" s="187" t="s">
        <v>115</v>
      </c>
      <c r="D9" s="187" t="s">
        <v>116</v>
      </c>
      <c r="E9" s="187" t="s">
        <v>117</v>
      </c>
      <c r="F9" s="187" t="s">
        <v>118</v>
      </c>
      <c r="G9" s="187" t="s">
        <v>119</v>
      </c>
      <c r="H9" s="187" t="s">
        <v>120</v>
      </c>
      <c r="I9" s="187" t="s">
        <v>121</v>
      </c>
    </row>
    <row r="10" ht="60" spans="1:9">
      <c r="A10" s="129">
        <v>1</v>
      </c>
      <c r="B10" s="129">
        <f>报关单!D20</f>
      </c>
      <c r="C10" s="129">
        <f>报关单!B20</f>
      </c>
      <c r="D10" s="129"/>
      <c r="E10" s="129" t="str">
        <f>IFERROR(INDEX('产品主数据'!$D$2:$D$5,MATCH(报关单!$B$20,'产品主数据'!$A$2:$A$5,0)),"")</f>
      </c>
      <c r="F10" s="129" t="str">
        <f>IFERROR(INDEX('产品主数据'!$E$2:$E$5,MATCH(报关单!$B$20,'产品主数据'!$A$2:$A$5,0)),"")</f>
      </c>
      <c r="G10" s="129" t="s">
        <v>124</v>
      </c>
      <c r="H10" s="129" t="s">
        <v>125</v>
      </c>
      <c r="I10" s="129" t="s">
        <v>126</v>
      </c>
    </row>
  </sheetData>
  <mergeCells count="1">
    <mergeCell ref="A8:I8"/>
  </mergeCells>
  <hyperlinks>
    <hyperlink ref="B4" r:id="rId2" display="https://e-service.shciq.gov.cn/shesp/"/>
    <hyperlink ref="C4" r:id="rId2" display="https://e-service.shciq.gov.cn/shesp/" tooltip="https://e-service.shciq.gov.cn/shesp/"/>
    <hyperlink ref="C5" r:id="rId3" display="http://www.hscode.net/IntegrateQueries/QueryYS/"/>
  </hyperlinks>
  <pageMargins left="0.39" right="0.39" top="0.43" bottom="1" header="0.24" footer="0.51"/>
  <pageSetup paperSize="9" scale="92" orientation="landscape"/>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0000"/>
    <pageSetUpPr fitToPage="1"/>
  </sheetPr>
  <dimension ref="A1:I18"/>
  <sheetViews>
    <sheetView workbookViewId="0">
      <selection activeCell="M10" sqref="M10"/>
    </sheetView>
  </sheetViews>
  <sheetFormatPr defaultColWidth="9" defaultRowHeight="14"/>
  <cols>
    <col min="1" max="1" width="5.9" style="152" customWidth="1"/>
    <col min="2" max="2" width="15.7" style="152" customWidth="1"/>
    <col min="3" max="3" width="7.2" style="152" customWidth="1"/>
    <col min="4" max="4" width="7.6" style="152" customWidth="1"/>
    <col min="5" max="5" width="17.3" style="152" customWidth="1"/>
    <col min="6" max="6" width="13.9" style="152" customWidth="1"/>
    <col min="7" max="7" width="2.6" style="152" customWidth="1"/>
    <col min="8" max="8" width="12.7" style="152" customWidth="1"/>
    <col min="9" max="9" width="22.2" style="152" customWidth="1"/>
    <col min="10" max="16384" width="9" style="152" customWidth="1"/>
  </cols>
  <sheetData>
    <row r="1" ht="43.95" customHeight="1" spans="1:9">
      <c r="C1" s="153" t="s">
        <v>127</v>
      </c>
    </row>
    <row r="2" ht="37.95" customHeight="1" spans="1:9">
      <c r="C2" s="154" t="s">
        <v>128</v>
      </c>
    </row>
    <row r="3" ht="37.5" customHeight="1" spans="1:9">
      <c r="A3" s="155" t="s">
        <v>129</v>
      </c>
    </row>
    <row r="4" ht="16.5" customHeight="1" spans="1:9">
      <c r="A4" s="156" t="s">
        <v>130</v>
      </c>
      <c r="H4" s="157" t="s">
        <v>131</v>
      </c>
      <c r="I4" s="157" t="s">
        <v>132</v>
      </c>
    </row>
    <row r="5" ht="30" customHeight="1" spans="1:9">
      <c r="A5" s="156" t="s">
        <v>133</v>
      </c>
      <c r="H5" s="157" t="s">
        <v>134</v>
      </c>
      <c r="I5" s="158">
        <v>46324</v>
      </c>
    </row>
    <row r="6" ht="16.5" customHeight="1" spans="1:9">
      <c r="B6" s="159"/>
      <c r="H6" s="157"/>
      <c r="I6" s="157"/>
    </row>
    <row r="7" ht="16.5" customHeight="1" spans="1:9">
      <c r="A7" s="156" t="s">
        <v>135</v>
      </c>
      <c r="H7" s="160" t="s">
        <v>136</v>
      </c>
      <c r="I7" s="160" t="s">
        <v>137</v>
      </c>
    </row>
    <row r="8" ht="16.5" customHeight="1" spans="1:9">
      <c r="A8" s="161" t="s">
        <v>138</v>
      </c>
      <c r="H8" s="157" t="s">
        <v>139</v>
      </c>
      <c r="I8" s="157">
        <f>报关单!A10</f>
      </c>
    </row>
    <row r="9" ht="22.8" customHeight="1" spans="1:9">
      <c r="A9" s="162" t="s">
        <v>140</v>
      </c>
      <c r="B9" s="162" t="s">
        <v>141</v>
      </c>
      <c r="C9" s="163"/>
      <c r="D9" s="164"/>
      <c r="E9" s="162" t="s">
        <v>142</v>
      </c>
      <c r="F9" s="162" t="s">
        <v>143</v>
      </c>
      <c r="G9" s="162" t="s">
        <v>144</v>
      </c>
      <c r="H9" s="164"/>
      <c r="I9" s="162" t="s">
        <v>145</v>
      </c>
    </row>
    <row r="10" ht="37.95" customHeight="1" spans="1:9">
      <c r="A10" s="165">
        <v>1</v>
      </c>
      <c r="B10" s="166">
        <f>报关单!D20</f>
      </c>
      <c r="C10" s="167"/>
      <c r="D10" s="168"/>
      <c r="E10" s="165">
        <f>报关单!B20</f>
      </c>
      <c r="F10" s="165">
        <f>报关单!G20</f>
      </c>
      <c r="G10" s="169">
        <f>报关单!I20</f>
      </c>
      <c r="H10" s="168"/>
      <c r="I10" s="169">
        <f>G10*F10</f>
        <v>564.44</v>
      </c>
    </row>
    <row r="11" ht="22.8" customHeight="1" spans="1:9">
      <c r="A11" s="170" t="s">
        <v>146</v>
      </c>
      <c r="B11" s="171"/>
      <c r="C11" s="163"/>
      <c r="D11" s="164"/>
      <c r="E11" s="172"/>
      <c r="F11" s="165">
        <v>1</v>
      </c>
      <c r="G11" s="173"/>
      <c r="H11" s="168"/>
      <c r="I11" s="169">
        <f>SUM(I10:I10)</f>
        <v>564.44</v>
      </c>
    </row>
    <row r="12" ht="64.05" customHeight="1" spans="1:9">
      <c r="A12" s="174" t="s">
        <v>147</v>
      </c>
    </row>
    <row r="13" ht="33" customHeight="1" spans="1:9">
      <c r="A13" s="175" t="s">
        <v>148</v>
      </c>
    </row>
    <row r="14" ht="33" customHeight="1" spans="1:9">
      <c r="A14" s="176" t="s">
        <v>149</v>
      </c>
    </row>
    <row r="15" ht="16.5" customHeight="1" spans="1:9">
      <c r="A15" s="177" t="s">
        <v>150</v>
      </c>
    </row>
    <row r="16" ht="16.5" customHeight="1" spans="1:9">
      <c r="A16" s="178" t="s">
        <v>151</v>
      </c>
    </row>
    <row r="17" ht="16.5" customHeight="1" spans="1:1">
      <c r="A17" s="179" t="s">
        <v>152</v>
      </c>
    </row>
    <row r="18" ht="33" customHeight="1" spans="1:1">
      <c r="A18" s="175" t="s">
        <v>153</v>
      </c>
    </row>
  </sheetData>
  <mergeCells count="22">
    <mergeCell ref="C1:I1"/>
    <mergeCell ref="C2:I2"/>
    <mergeCell ref="A3:I3"/>
    <mergeCell ref="A4:D4"/>
    <mergeCell ref="F4:G4"/>
    <mergeCell ref="A5:G5"/>
    <mergeCell ref="B6:F6"/>
    <mergeCell ref="A7:F7"/>
    <mergeCell ref="A8:F8"/>
    <mergeCell ref="B9:D9"/>
    <mergeCell ref="G9:H9"/>
    <mergeCell ref="B10:D10"/>
    <mergeCell ref="G10:H10"/>
    <mergeCell ref="B11:D11"/>
    <mergeCell ref="G11:H11"/>
    <mergeCell ref="A12:I12"/>
    <mergeCell ref="A13:I13"/>
    <mergeCell ref="A14:I14"/>
    <mergeCell ref="A15:I15"/>
    <mergeCell ref="A16:I16"/>
    <mergeCell ref="A17:I17"/>
    <mergeCell ref="A18:I18"/>
  </mergeCells>
  <pageMargins left="0.75" right="0.75" top="1" bottom="1" header="0.5" footer="0.5"/>
  <pageSetup paperSize="9" scale="76" orientation="portrait"/>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0000"/>
  </sheetPr>
  <dimension ref="A1:K21"/>
  <sheetViews>
    <sheetView showZeros="0" view="pageBreakPreview" zoomScale="90" zoomScaleNormal="100" workbookViewId="0">
      <selection activeCell="L9" sqref="L9"/>
    </sheetView>
  </sheetViews>
  <sheetFormatPr defaultColWidth="9" defaultRowHeight="15.5"/>
  <cols>
    <col min="1" max="1" width="11.3" style="51" customWidth="1"/>
    <col min="2" max="2" width="25.3" style="51" customWidth="1"/>
    <col min="3" max="3" width="3.5" style="51" customWidth="1"/>
    <col min="4" max="4" width="9.7" style="51" customWidth="1"/>
    <col min="5" max="5" width="3" style="51" customWidth="1"/>
    <col min="6" max="6" width="8.6" style="57" customWidth="1"/>
    <col min="7" max="7" width="4.1" style="108" customWidth="1"/>
    <col min="8" max="8" width="13.5" style="51" customWidth="1"/>
    <col min="9" max="9" width="18.1" style="51" customWidth="1"/>
    <col min="10" max="16384" width="9" style="51" customWidth="1"/>
  </cols>
  <sheetData>
    <row r="1" ht="13.05" customHeight="1"/>
    <row r="2" ht="19.05" customHeight="1" spans="1:11">
      <c r="B2" s="110" t="s">
        <v>154</v>
      </c>
    </row>
    <row r="3" ht="34.05" customHeight="1" spans="1:11">
      <c r="A3" s="111"/>
      <c r="H3" s="112" t="s">
        <v>155</v>
      </c>
      <c r="I3" s="113">
        <v>46324</v>
      </c>
    </row>
    <row r="4" ht="31.2" customHeight="1" spans="1:11">
      <c r="B4" s="114"/>
      <c r="C4" s="115"/>
      <c r="D4" s="115"/>
      <c r="E4" s="115"/>
      <c r="F4" s="67"/>
      <c r="G4" s="116"/>
      <c r="H4" s="117" t="s">
        <v>156</v>
      </c>
      <c r="I4" s="118" t="str">
        <f>发票!I4</f>
        <v>INV-202610-0145</v>
      </c>
    </row>
    <row r="5" ht="31.2" customHeight="1" spans="1:11">
      <c r="A5" s="112" t="s">
        <v>157</v>
      </c>
      <c r="B5" s="119" t="s">
        <v>27</v>
      </c>
      <c r="C5" s="58"/>
      <c r="D5" s="58"/>
      <c r="E5" s="58"/>
      <c r="F5" s="58"/>
      <c r="G5" s="58"/>
      <c r="H5" s="117" t="s">
        <v>158</v>
      </c>
      <c r="I5" s="120">
        <f>报关单!A10</f>
      </c>
    </row>
    <row r="6" ht="9" customHeight="1" spans="1:11">
      <c r="A6" s="121"/>
      <c r="B6" s="122"/>
      <c r="C6" s="122" t="s">
        <v>159</v>
      </c>
      <c r="D6" s="122"/>
      <c r="E6" s="122"/>
      <c r="F6" s="123"/>
      <c r="H6" s="124"/>
      <c r="I6"/>
      <c r="K6" s="57"/>
    </row>
    <row r="7" ht="46.8" customHeight="1" spans="1:11">
      <c r="A7" s="125" t="s">
        <v>160</v>
      </c>
      <c r="B7" s="126"/>
      <c r="C7" t="s">
        <v>161</v>
      </c>
      <c r="D7" t="s">
        <v>162</v>
      </c>
      <c r="E7" t="s">
        <v>163</v>
      </c>
      <c r="F7" s="123" t="s">
        <v>51</v>
      </c>
      <c r="H7" s="117" t="s">
        <v>164</v>
      </c>
      <c r="I7" s="127" t="str">
        <f>报关单!Y4</f>
        <v>电汇</v>
      </c>
    </row>
    <row r="8" spans="1:11">
      <c r="A8" s="125"/>
      <c r="B8" s="128"/>
      <c r="C8"/>
      <c r="D8"/>
      <c r="E8"/>
      <c r="F8" s="123"/>
      <c r="H8" s="117"/>
      <c r="I8" s="123"/>
    </row>
    <row r="9" ht="31.2" customHeight="1" spans="1:11">
      <c r="A9" s="129" t="s">
        <v>165</v>
      </c>
      <c r="B9" s="129" t="s">
        <v>166</v>
      </c>
      <c r="C9" s="130" t="s">
        <v>167</v>
      </c>
      <c r="D9" s="43"/>
      <c r="E9" s="25"/>
      <c r="F9" s="129" t="s">
        <v>168</v>
      </c>
      <c r="G9" s="25"/>
      <c r="H9" s="131" t="s">
        <v>169</v>
      </c>
      <c r="I9" s="129" t="s">
        <v>170</v>
      </c>
    </row>
    <row r="10" ht="30" customHeight="1" spans="1:11">
      <c r="A10" s="132">
        <v>1</v>
      </c>
      <c r="B10" s="133">
        <f>报关单!D20</f>
      </c>
      <c r="C10" s="134">
        <f>报关单!V20</f>
      </c>
      <c r="E10" s="135"/>
      <c r="F10" s="136">
        <f>报关单!G20</f>
      </c>
      <c r="G10" s="137">
        <f>报关单!H20</f>
      </c>
      <c r="H10" s="138">
        <f>报关单!U20</f>
      </c>
      <c r="I10" s="139">
        <f>报关单!T20</f>
      </c>
      <c r="J10" s="140"/>
    </row>
    <row r="11" ht="30" customHeight="1" spans="1:11">
      <c r="A11" s="141"/>
      <c r="B11" s="142"/>
      <c r="C11" s="134">
        <f ca="1">OFFSET(报关单!$V$1,ROW(报关单!V9)*3+16,0)</f>
        <v>0</v>
      </c>
      <c r="E11" s="135"/>
      <c r="F11" s="143"/>
      <c r="G11" s="144"/>
      <c r="H11" s="138">
        <f ca="1">OFFSET(报关单!$U$1,ROW(报关单!U9)*3+16,0)</f>
        <v>0</v>
      </c>
      <c r="I11" s="139">
        <f ca="1">OFFSET(报关单!$T$1,ROW(报关单!T9)*3+16,0)</f>
        <v>0</v>
      </c>
      <c r="J11" s="140"/>
    </row>
    <row r="12" ht="30" customHeight="1" spans="1:11">
      <c r="A12" s="141"/>
      <c r="B12" s="142"/>
      <c r="C12" s="134">
        <f ca="1">OFFSET(报关单!$V$1,ROW(报关单!V10)*3+16,0)</f>
        <v>0</v>
      </c>
      <c r="E12" s="135"/>
      <c r="F12" s="143"/>
      <c r="G12" s="144"/>
      <c r="H12" s="138">
        <f ca="1">OFFSET(报关单!$U$1,ROW(报关单!U10)*3+16,0)</f>
        <v>0</v>
      </c>
      <c r="I12" s="139">
        <f ca="1">OFFSET(报关单!$T$1,ROW(报关单!T10)*3+16,0)</f>
        <v>0</v>
      </c>
      <c r="J12" s="140"/>
    </row>
    <row r="13" ht="30" customHeight="1" spans="1:11">
      <c r="A13" s="141"/>
      <c r="B13" s="142"/>
      <c r="C13" s="134">
        <f ca="1">OFFSET(报关单!$V$1,ROW(报关单!V11)*3+16,0)</f>
        <v>0</v>
      </c>
      <c r="E13" s="135"/>
      <c r="F13" s="143"/>
      <c r="G13" s="144"/>
      <c r="H13" s="138">
        <f ca="1">OFFSET(报关单!$U$1,ROW(报关单!U11)*3+16,0)</f>
        <v>0</v>
      </c>
      <c r="I13" s="139">
        <f ca="1">OFFSET(报关单!$T$1,ROW(报关单!T11)*3+16,0)</f>
        <v>0</v>
      </c>
      <c r="J13" s="140"/>
    </row>
    <row r="14" ht="30" customHeight="1" spans="1:11">
      <c r="A14" s="141"/>
      <c r="B14" s="142"/>
      <c r="C14" s="134">
        <f ca="1">OFFSET(报关单!$V$1,ROW(报关单!V12)*3+16,0)</f>
        <v>0</v>
      </c>
      <c r="E14" s="135"/>
      <c r="F14" s="143"/>
      <c r="G14" s="144"/>
      <c r="H14" s="138">
        <f ca="1">OFFSET(报关单!$U$1,ROW(报关单!U12)*3+16,0)</f>
        <v>0</v>
      </c>
      <c r="I14" s="139">
        <f ca="1">OFFSET(报关单!$T$1,ROW(报关单!T12)*3+16,0)</f>
        <v>0</v>
      </c>
      <c r="J14" s="140"/>
    </row>
    <row r="15" ht="30" customHeight="1" spans="1:11">
      <c r="A15" s="141"/>
      <c r="B15" s="142"/>
      <c r="C15" s="134">
        <f ca="1">OFFSET(报关单!$V$1,ROW(报关单!V13)*3+16,0)</f>
        <v>0</v>
      </c>
      <c r="E15" s="135"/>
      <c r="F15" s="143"/>
      <c r="G15" s="144"/>
      <c r="H15" s="138">
        <f ca="1">OFFSET(报关单!$U$1,ROW(报关单!T13)*3+16,0)</f>
        <v>0</v>
      </c>
      <c r="I15" s="139">
        <f ca="1">OFFSET(报关单!$T$1,ROW(报关单!T13)*3+16,0)</f>
        <v>0</v>
      </c>
      <c r="J15" s="140"/>
    </row>
    <row r="16" ht="30" customHeight="1" spans="1:11">
      <c r="A16" s="141"/>
      <c r="B16" s="142"/>
      <c r="C16" s="134">
        <f ca="1">OFFSET(报关单!$V$1,ROW(报关单!V14)*3+16,0)</f>
        <v>0</v>
      </c>
      <c r="E16" s="135"/>
      <c r="F16" s="143"/>
      <c r="G16" s="144"/>
      <c r="H16" s="138">
        <f ca="1">OFFSET(报关单!$U$1,ROW(报关单!T14)*3+16,0)</f>
        <v>0</v>
      </c>
      <c r="I16" s="139">
        <f ca="1">OFFSET(报关单!$T$1,ROW(报关单!T14)*3+16,0)</f>
        <v>0</v>
      </c>
      <c r="J16" s="140"/>
    </row>
    <row r="17" ht="30" customHeight="1" spans="1:10">
      <c r="A17" s="141"/>
      <c r="B17" s="142"/>
      <c r="C17" s="134">
        <f ca="1">OFFSET(报关单!$V$1,ROW(报关单!T15)*3+16,0)</f>
        <v>0</v>
      </c>
      <c r="E17" s="135"/>
      <c r="F17" s="143"/>
      <c r="G17" s="144"/>
      <c r="H17" s="138"/>
      <c r="I17" s="139"/>
      <c r="J17" s="140"/>
    </row>
    <row r="18" ht="30" customHeight="1" spans="1:10">
      <c r="A18" s="145"/>
      <c r="B18" s="142"/>
      <c r="C18" s="134">
        <f ca="1">OFFSET(报关单!$V$1,ROW(报关单!T16)*3+16,0)</f>
        <v>0</v>
      </c>
      <c r="E18" s="135"/>
      <c r="F18" s="143"/>
      <c r="G18" s="144"/>
      <c r="H18" s="146"/>
      <c r="I18" s="139"/>
    </row>
    <row r="19" ht="31.05" customHeight="1" spans="1:10">
      <c r="A19" s="147" t="s">
        <v>171</v>
      </c>
      <c r="B19" s="148"/>
      <c r="C19" s="149">
        <f ca="1">SUM(C10:C18)</f>
        <v>0</v>
      </c>
      <c r="D19" s="43"/>
      <c r="E19" s="25"/>
      <c r="F19" s="150">
        <f>SUM(F10:F18)</f>
        <v>1</v>
      </c>
      <c r="G19" s="150">
        <f>SUM(G10:G18)</f>
        <v>0</v>
      </c>
      <c r="H19" s="150">
        <f ca="1">SUM(H10:H18)</f>
        <v>0</v>
      </c>
      <c r="I19" s="150">
        <f ca="1">SUM(I10:I18)</f>
        <v>0</v>
      </c>
    </row>
    <row r="20" ht="19.05" customHeight="1" spans="1:10">
      <c r="A20" s="151" t="s">
        <v>172</v>
      </c>
      <c r="B20" s="108"/>
    </row>
    <row r="21" ht="19.05" customHeight="1"/>
  </sheetData>
  <mergeCells count="18">
    <mergeCell ref="B5:G5"/>
    <mergeCell ref="F6:G6"/>
    <mergeCell ref="F7:G7"/>
    <mergeCell ref="C9:E9"/>
    <mergeCell ref="F9:G9"/>
    <mergeCell ref="C10:E10"/>
    <mergeCell ref="C11:E11"/>
    <mergeCell ref="C12:E12"/>
    <mergeCell ref="C13:E13"/>
    <mergeCell ref="C14:E14"/>
    <mergeCell ref="C15:E15"/>
    <mergeCell ref="C16:E16"/>
    <mergeCell ref="C17:E17"/>
    <mergeCell ref="C18:E18"/>
    <mergeCell ref="C19:E19"/>
    <mergeCell ref="A20:A21"/>
    <mergeCell ref="B2:G3"/>
    <mergeCell ref="B20:I21"/>
  </mergeCells>
  <pageMargins left="0.2" right="0.16" top="0.24" bottom="0.2" header="0.2" footer="0.08"/>
  <pageSetup paperSize="9" scale="94" orientation="portrait"/>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0000"/>
    <pageSetUpPr fitToPage="1"/>
  </sheetPr>
  <dimension ref="A1:J45"/>
  <sheetViews>
    <sheetView showZeros="0" view="pageBreakPreview" zoomScaleNormal="100" workbookViewId="0">
      <selection activeCell="B17" sqref="B17:C17"/>
    </sheetView>
  </sheetViews>
  <sheetFormatPr defaultColWidth="9" defaultRowHeight="15.5"/>
  <cols>
    <col min="1" max="1" width="3.5" style="52" customWidth="1"/>
    <col min="2" max="2" width="16.5" style="51" customWidth="1"/>
    <col min="3" max="3" width="14.2" style="51" customWidth="1"/>
    <col min="4" max="4" width="12.5" style="51" customWidth="1"/>
    <col min="5" max="5" width="14" style="51" customWidth="1"/>
    <col min="6" max="6" width="12.9" style="51" customWidth="1"/>
    <col min="7" max="7" width="8.9" style="51" customWidth="1"/>
    <col min="8" max="8" width="12.7" style="51" customWidth="1"/>
    <col min="9" max="9" width="5.3" style="51" customWidth="1"/>
    <col min="10" max="10" width="6.2" style="51" customWidth="1"/>
    <col min="11" max="16384" width="9" style="51" customWidth="1"/>
  </cols>
  <sheetData>
    <row r="1" ht="67.95" customHeight="1" spans="1:10">
      <c r="B1" s="53" t="s">
        <v>173</v>
      </c>
    </row>
    <row r="2" spans="1:10">
      <c r="B2" s="54" t="s">
        <v>174</v>
      </c>
      <c r="C2" s="55" t="str">
        <f>报关单!V5</f>
        <v>深圳留形科技有限公司</v>
      </c>
      <c r="F2" s="56"/>
      <c r="G2" s="54"/>
      <c r="H2" s="57"/>
    </row>
    <row r="3" spans="1:10">
      <c r="B3" s="54" t="s">
        <v>175</v>
      </c>
      <c r="C3" s="58"/>
      <c r="D3" s="58"/>
      <c r="E3" s="58"/>
      <c r="F3" s="59"/>
      <c r="G3" s="60"/>
    </row>
    <row r="4" spans="1:10">
      <c r="B4" s="61" t="s">
        <v>176</v>
      </c>
      <c r="C4" s="62" t="s">
        <v>177</v>
      </c>
      <c r="D4" s="47"/>
      <c r="E4" s="47"/>
      <c r="F4" s="63"/>
      <c r="G4" s="64"/>
      <c r="H4" s="57"/>
    </row>
    <row r="5" spans="1:10">
      <c r="B5" s="61" t="s">
        <v>178</v>
      </c>
      <c r="C5" s="58"/>
      <c r="D5" s="58"/>
      <c r="E5" s="58"/>
      <c r="F5" s="56" t="s">
        <v>179</v>
      </c>
      <c r="G5" s="54"/>
      <c r="H5" s="57"/>
    </row>
    <row r="6" spans="1:10">
      <c r="B6" s="61" t="s">
        <v>180</v>
      </c>
      <c r="C6" s="65"/>
      <c r="D6" s="66" t="s">
        <v>181</v>
      </c>
      <c r="E6" s="65"/>
      <c r="F6" s="59" t="s">
        <v>182</v>
      </c>
      <c r="G6" s="60" t="s">
        <v>50</v>
      </c>
      <c r="J6" s="57"/>
    </row>
    <row r="7" spans="1:10">
      <c r="B7" s="67" t="s">
        <v>183</v>
      </c>
      <c r="C7" s="58"/>
      <c r="D7" s="68" t="s">
        <v>184</v>
      </c>
      <c r="E7" s="58"/>
      <c r="F7" s="59" t="s">
        <v>185</v>
      </c>
      <c r="G7" s="69">
        <v>46323</v>
      </c>
    </row>
    <row r="8" spans="1:10">
      <c r="B8" s="70" t="s">
        <v>186</v>
      </c>
      <c r="C8" s="71" t="str">
        <f>报关单!V8</f>
        <v>Manifold Tech Limited</v>
      </c>
      <c r="D8" s="47"/>
      <c r="E8" s="47"/>
      <c r="F8" s="59" t="s">
        <v>187</v>
      </c>
      <c r="G8" s="72"/>
    </row>
    <row r="9" spans="1:10">
      <c r="B9" s="54" t="s">
        <v>188</v>
      </c>
      <c r="C9" s="58"/>
      <c r="D9" s="58"/>
      <c r="E9" s="58"/>
      <c r="F9" s="73" t="s">
        <v>189</v>
      </c>
      <c r="G9" s="74" t="s">
        <v>105</v>
      </c>
    </row>
    <row r="10" spans="1:10">
      <c r="B10" s="54" t="s">
        <v>190</v>
      </c>
      <c r="C10" s="62" t="s">
        <v>191</v>
      </c>
      <c r="D10" s="47"/>
      <c r="E10" s="47"/>
      <c r="F10" s="59" t="s">
        <v>192</v>
      </c>
      <c r="G10" s="75"/>
    </row>
    <row r="11" spans="1:10">
      <c r="B11" s="54" t="s">
        <v>178</v>
      </c>
      <c r="C11" s="58"/>
      <c r="D11" s="58"/>
      <c r="E11" s="58"/>
      <c r="F11" s="76" t="s">
        <v>193</v>
      </c>
      <c r="G11" s="77" t="str">
        <f>报关单!V4</f>
        <v>FOB</v>
      </c>
      <c r="H11" s="78"/>
    </row>
    <row r="12" spans="1:10">
      <c r="B12" s="54" t="s">
        <v>194</v>
      </c>
      <c r="C12" s="79"/>
      <c r="D12" s="80" t="s">
        <v>181</v>
      </c>
      <c r="E12" s="79"/>
      <c r="G12" s="81"/>
    </row>
    <row r="13" ht="9" customHeight="1" spans="1:10">
      <c r="B13" s="67" t="s">
        <v>183</v>
      </c>
      <c r="C13" s="58"/>
      <c r="D13" s="67" t="s">
        <v>184</v>
      </c>
      <c r="E13" s="58"/>
      <c r="F13" s="1"/>
      <c r="G13" s="1"/>
      <c r="H13" s="57"/>
    </row>
    <row r="14" ht="13.5" customHeight="1" spans="1:10">
      <c r="B14" s="82" t="s">
        <v>195</v>
      </c>
      <c r="C14" s="83"/>
      <c r="D14" s="1"/>
      <c r="E14" s="1"/>
      <c r="F14" s="1"/>
      <c r="G14" s="1"/>
      <c r="H14" s="57"/>
    </row>
    <row r="15" ht="13.5" customHeight="1" spans="1:10">
      <c r="B15" s="84" t="s">
        <v>196</v>
      </c>
      <c r="C15" s="85"/>
      <c r="D15" s="85"/>
      <c r="E15" s="85"/>
      <c r="F15" s="85"/>
      <c r="G15" s="85"/>
      <c r="H15" s="85"/>
      <c r="I15" s="85"/>
    </row>
    <row r="16" ht="15.75" customHeight="1" spans="1:10">
      <c r="A16" s="51"/>
      <c r="B16" s="86" t="s">
        <v>197</v>
      </c>
      <c r="C16" s="87"/>
      <c r="D16" s="86" t="s">
        <v>198</v>
      </c>
      <c r="E16" s="86" t="s">
        <v>199</v>
      </c>
      <c r="F16" s="86" t="s">
        <v>200</v>
      </c>
      <c r="G16" s="86" t="s">
        <v>201</v>
      </c>
      <c r="H16" s="88"/>
      <c r="I16" s="87"/>
    </row>
    <row r="17" s="51" customFormat="1" ht="12" customHeight="1" spans="1:9">
      <c r="B17" s="89" t="s">
        <v>202</v>
      </c>
      <c r="C17" s="90"/>
      <c r="D17" s="89" t="s">
        <v>143</v>
      </c>
      <c r="E17" s="89" t="s">
        <v>203</v>
      </c>
      <c r="F17" s="89" t="s">
        <v>144</v>
      </c>
      <c r="G17" s="89" t="s">
        <v>145</v>
      </c>
      <c r="H17" s="58"/>
      <c r="I17" s="90"/>
    </row>
    <row r="18" s="51" customFormat="1" ht="15" customHeight="1" spans="1:9">
      <c r="B18" s="91">
        <f>报关单!D20</f>
      </c>
      <c r="C18" s="48"/>
      <c r="D18" s="92">
        <f>报关单!G20</f>
      </c>
      <c r="E18" s="93">
        <f>报关单!H20</f>
      </c>
      <c r="F18" s="94">
        <f>报关单!I20</f>
      </c>
      <c r="G18" s="92">
        <f>F18*D18</f>
        <v>564.44</v>
      </c>
      <c r="H18" s="47"/>
      <c r="I18" s="48"/>
    </row>
    <row r="19" s="51" customFormat="1" ht="12" customHeight="1" spans="1:9">
      <c r="B19" s="95"/>
      <c r="C19" s="48"/>
      <c r="D19" s="92"/>
      <c r="E19" s="93"/>
      <c r="F19" s="94"/>
      <c r="G19" s="96"/>
      <c r="H19" s="97"/>
      <c r="I19" s="48"/>
    </row>
    <row r="20" s="51" customFormat="1" ht="12" customHeight="1" spans="1:9">
      <c r="B20" s="95"/>
      <c r="C20" s="48"/>
      <c r="D20" s="92"/>
      <c r="E20" s="93"/>
      <c r="F20" s="94"/>
      <c r="G20" s="96"/>
      <c r="H20" s="97"/>
      <c r="I20" s="48"/>
    </row>
    <row r="21" s="51" customFormat="1" ht="12" customHeight="1" spans="1:9">
      <c r="B21" s="95"/>
      <c r="C21" s="48"/>
      <c r="D21" s="92"/>
      <c r="E21" s="93"/>
      <c r="F21" s="94"/>
      <c r="G21" s="96"/>
      <c r="H21" s="97"/>
      <c r="I21" s="48"/>
    </row>
    <row r="22" s="51" customFormat="1" ht="12" customHeight="1" spans="1:9">
      <c r="B22" s="95"/>
      <c r="C22" s="48"/>
      <c r="D22" s="92"/>
      <c r="E22" s="93"/>
      <c r="F22" s="94"/>
      <c r="G22" s="96"/>
      <c r="H22" s="97"/>
      <c r="I22" s="48"/>
    </row>
    <row r="23" s="51" customFormat="1" ht="12" customHeight="1" spans="1:9">
      <c r="B23" s="95"/>
      <c r="C23" s="48"/>
      <c r="D23" s="92"/>
      <c r="E23" s="93"/>
      <c r="F23" s="94"/>
      <c r="G23" s="96"/>
      <c r="H23" s="97"/>
      <c r="I23" s="48"/>
    </row>
    <row r="24" s="51" customFormat="1" ht="12" customHeight="1" spans="1:9">
      <c r="B24" s="95"/>
      <c r="C24" s="48"/>
      <c r="D24" s="92"/>
      <c r="E24" s="93"/>
      <c r="F24" s="94"/>
      <c r="G24" s="96"/>
      <c r="H24" s="97"/>
      <c r="I24" s="48"/>
    </row>
    <row r="25" s="51" customFormat="1" ht="12" customHeight="1" spans="1:9">
      <c r="B25" s="95"/>
      <c r="C25" s="48"/>
      <c r="D25" s="92"/>
      <c r="E25" s="93"/>
      <c r="F25" s="94"/>
      <c r="G25" s="96"/>
      <c r="H25" s="97"/>
      <c r="I25" s="48"/>
    </row>
    <row r="26" s="51" customFormat="1" ht="12" customHeight="1" spans="1:9">
      <c r="B26" s="95"/>
      <c r="C26" s="48"/>
      <c r="D26" s="92"/>
      <c r="E26" s="93"/>
      <c r="F26" s="94"/>
      <c r="G26" s="96"/>
      <c r="H26" s="97"/>
      <c r="I26" s="48"/>
    </row>
    <row r="27" s="51" customFormat="1" ht="12" customHeight="1" spans="1:9">
      <c r="B27" s="95"/>
      <c r="C27" s="48"/>
      <c r="D27" s="92"/>
      <c r="E27" s="93"/>
      <c r="F27" s="94"/>
      <c r="G27" s="96"/>
      <c r="H27" s="97"/>
      <c r="I27" s="48"/>
    </row>
    <row r="28" s="51" customFormat="1" ht="12" customHeight="1" spans="1:9">
      <c r="B28" s="95"/>
      <c r="C28" s="48"/>
      <c r="D28" s="92"/>
      <c r="E28" s="93"/>
      <c r="F28" s="94"/>
      <c r="G28" s="96"/>
      <c r="H28" s="97"/>
      <c r="I28" s="48"/>
    </row>
    <row r="29" s="51" customFormat="1" ht="12" customHeight="1" spans="1:9">
      <c r="B29" s="95"/>
      <c r="C29" s="48"/>
      <c r="D29" s="92"/>
      <c r="E29" s="93"/>
      <c r="F29" s="94"/>
      <c r="G29" s="96"/>
      <c r="H29" s="97"/>
      <c r="I29" s="48"/>
    </row>
    <row r="30" ht="12" customHeight="1" spans="1:9">
      <c r="A30" s="51"/>
      <c r="B30" s="95"/>
      <c r="C30" s="48"/>
      <c r="D30" s="92"/>
      <c r="E30" s="93"/>
      <c r="F30" s="94"/>
      <c r="G30" s="96"/>
      <c r="H30" s="97"/>
      <c r="I30" s="48"/>
    </row>
    <row r="31" ht="12" customHeight="1" spans="1:9">
      <c r="A31" s="51"/>
      <c r="B31" s="95"/>
      <c r="C31" s="48"/>
      <c r="D31" s="92"/>
      <c r="E31" s="93"/>
      <c r="F31" s="94"/>
      <c r="G31" s="96"/>
      <c r="H31" s="97"/>
      <c r="I31" s="48"/>
    </row>
    <row r="32" ht="6" customHeight="1" spans="1:9">
      <c r="A32" s="51"/>
      <c r="B32" s="98"/>
      <c r="C32" s="48"/>
      <c r="D32" s="99"/>
      <c r="E32" s="100"/>
      <c r="F32" s="101"/>
      <c r="G32" s="102"/>
      <c r="H32" s="103"/>
      <c r="I32" s="48"/>
    </row>
    <row r="33" ht="13.5" customHeight="1" spans="2:8">
      <c r="B33" s="82"/>
      <c r="C33" s="82"/>
      <c r="D33" s="1"/>
      <c r="E33" s="1"/>
      <c r="F33" s="104" t="s">
        <v>205</v>
      </c>
      <c r="G33" s="105">
        <f>SUM(G18:G32)</f>
        <v>564.44</v>
      </c>
    </row>
    <row r="34" ht="13.5" customHeight="1" spans="2:8">
      <c r="B34" s="1"/>
      <c r="F34" s="106" t="s">
        <v>206</v>
      </c>
      <c r="G34" s="107"/>
    </row>
    <row r="35" ht="13.5" hidden="1" customHeight="1" spans="2:8">
      <c r="C35" s="57"/>
      <c r="H35" s="57"/>
    </row>
    <row r="36" ht="2.25" customHeight="1"/>
    <row r="37" ht="9" customHeight="1"/>
    <row r="38" ht="61.95" customHeight="1" spans="2:8">
      <c r="B38" s="108"/>
      <c r="E38" s="108"/>
    </row>
    <row r="39" ht="13.5" customHeight="1" spans="2:8">
      <c r="B39" s="108"/>
      <c r="E39" s="108"/>
    </row>
    <row r="40" ht="13.5" customHeight="1" spans="2:8">
      <c r="B40" s="51" t="s">
        <v>207</v>
      </c>
      <c r="E40" s="51" t="s">
        <v>208</v>
      </c>
    </row>
    <row r="41" ht="13.5" customHeight="1" spans="2:8">
      <c r="B41" s="109" t="s">
        <v>209</v>
      </c>
      <c r="E41" s="51" t="s">
        <v>210</v>
      </c>
    </row>
    <row r="42" ht="13.5" customHeight="1" spans="2:8">
      <c r="B42" s="51" t="s">
        <v>211</v>
      </c>
      <c r="E42" s="51" t="s">
        <v>211</v>
      </c>
    </row>
    <row r="43" ht="9" customHeight="1"/>
    <row r="44" ht="13.5" customHeight="1"/>
    <row r="45" ht="13.5" customHeight="1"/>
  </sheetData>
  <mergeCells count="62">
    <mergeCell ref="B1:I1"/>
    <mergeCell ref="H2:I2"/>
    <mergeCell ref="G3:I3"/>
    <mergeCell ref="H4:I4"/>
    <mergeCell ref="H5:I5"/>
    <mergeCell ref="G6:I6"/>
    <mergeCell ref="G7:I7"/>
    <mergeCell ref="G8:I8"/>
    <mergeCell ref="G9:I9"/>
    <mergeCell ref="G10:I10"/>
    <mergeCell ref="H13:I13"/>
    <mergeCell ref="H14:I14"/>
    <mergeCell ref="B15:I15"/>
    <mergeCell ref="B16:C16"/>
    <mergeCell ref="G16:I16"/>
    <mergeCell ref="B17:C17"/>
    <mergeCell ref="G17:I17"/>
    <mergeCell ref="B18:C18"/>
    <mergeCell ref="G18:I18"/>
    <mergeCell ref="B19:C19"/>
    <mergeCell ref="H19:I19"/>
    <mergeCell ref="B20:C20"/>
    <mergeCell ref="H20:I20"/>
    <mergeCell ref="B21:C21"/>
    <mergeCell ref="H21:I21"/>
    <mergeCell ref="B22:C22"/>
    <mergeCell ref="H22:I22"/>
    <mergeCell ref="B23:C23"/>
    <mergeCell ref="H23:I23"/>
    <mergeCell ref="B24:C24"/>
    <mergeCell ref="H24:I24"/>
    <mergeCell ref="B25:C25"/>
    <mergeCell ref="H25:I25"/>
    <mergeCell ref="B26:C26"/>
    <mergeCell ref="H26:I26"/>
    <mergeCell ref="B27:C27"/>
    <mergeCell ref="H27:I27"/>
    <mergeCell ref="B28:C28"/>
    <mergeCell ref="H28:I28"/>
    <mergeCell ref="B29:C29"/>
    <mergeCell ref="H29:I29"/>
    <mergeCell ref="B30:C30"/>
    <mergeCell ref="H30:I30"/>
    <mergeCell ref="B31:C31"/>
    <mergeCell ref="H31:I31"/>
    <mergeCell ref="B32:C32"/>
    <mergeCell ref="H32:I32"/>
    <mergeCell ref="B34:E34"/>
    <mergeCell ref="C35:G35"/>
    <mergeCell ref="C6:C7"/>
    <mergeCell ref="C12:C13"/>
    <mergeCell ref="E6:E7"/>
    <mergeCell ref="E12:E13"/>
    <mergeCell ref="F11:F12"/>
    <mergeCell ref="G11:G12"/>
    <mergeCell ref="C4:E5"/>
    <mergeCell ref="C10:E11"/>
    <mergeCell ref="C2:E3"/>
    <mergeCell ref="C8:E9"/>
    <mergeCell ref="H11:I12"/>
    <mergeCell ref="G33:I34"/>
    <mergeCell ref="H35:I43"/>
  </mergeCells>
  <pageMargins left="0.2" right="0.2" top="0.28" bottom="0.24" header="0.24" footer="0.08"/>
  <pageSetup paperSize="9" scale="93" orientation="portrait"/>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J27"/>
  <sheetViews>
    <sheetView tabSelected="1" zoomScale="72" zoomScaleNormal="72" workbookViewId="0">
      <selection activeCell="J15" sqref="J15"/>
    </sheetView>
  </sheetViews>
  <sheetFormatPr defaultColWidth="7.5" defaultRowHeight="13"/>
  <cols>
    <col min="1" max="2" width="16.6" style="1" customWidth="1"/>
    <col min="3" max="3" width="20.6" style="1" customWidth="1"/>
    <col min="4" max="4" width="11.7" style="1" customWidth="1"/>
    <col min="5" max="8" width="12.9" style="1" customWidth="1"/>
    <col min="9" max="9" width="15.5" style="1" customWidth="1"/>
    <col min="10" max="10" width="32.1" style="1" customWidth="1"/>
    <col min="11" max="11" width="9" style="1" customWidth="1"/>
    <col min="12" max="16384" width="7.5" style="1" customWidth="1"/>
  </cols>
  <sheetData>
    <row r="1" ht="42" customHeight="1" spans="1:10">
      <c r="A1" s="2" t="s">
        <v>212</v>
      </c>
      <c r="B1" s="3"/>
      <c r="C1" s="3"/>
      <c r="D1" s="3"/>
      <c r="E1" s="3"/>
      <c r="F1" s="3"/>
      <c r="G1" s="3"/>
      <c r="H1" s="3"/>
      <c r="I1" s="4"/>
      <c r="J1" s="5" t="s">
        <v>213</v>
      </c>
    </row>
    <row r="2" ht="28.05" customHeight="1" spans="1:10">
      <c r="A2" s="6" t="s">
        <v>214</v>
      </c>
      <c r="B2" s="7"/>
      <c r="C2" s="8"/>
      <c r="D2" s="9"/>
      <c r="E2" s="10" t="s">
        <v>215</v>
      </c>
      <c r="F2" s="9"/>
      <c r="G2" s="11"/>
      <c r="H2" s="9"/>
    </row>
    <row r="3" ht="27" customHeight="1" spans="1:10">
      <c r="A3" s="12" t="s">
        <v>216</v>
      </c>
      <c r="B3" s="13" t="s">
        <v>217</v>
      </c>
      <c r="C3" s="8"/>
      <c r="D3" s="8"/>
      <c r="E3" s="14" t="s">
        <v>218</v>
      </c>
      <c r="F3" s="9"/>
      <c r="G3" s="15"/>
      <c r="H3" s="9"/>
    </row>
    <row r="4" ht="21" customHeight="1" spans="1:10">
      <c r="A4" s="16" t="s">
        <v>219</v>
      </c>
      <c r="B4" s="8"/>
      <c r="C4" s="8"/>
      <c r="D4" s="8"/>
      <c r="E4" s="8"/>
      <c r="F4" s="8"/>
      <c r="G4" s="8"/>
      <c r="H4" s="9"/>
    </row>
    <row r="5" ht="32.25" customHeight="1" spans="1:10">
      <c r="A5" s="17" t="s">
        <v>220</v>
      </c>
      <c r="B5" s="18"/>
      <c r="C5" s="8"/>
      <c r="D5" s="8"/>
      <c r="E5" s="8"/>
      <c r="F5" s="8"/>
      <c r="G5" s="8"/>
      <c r="H5" s="9"/>
    </row>
    <row r="6" ht="31.5" customHeight="1" spans="1:10">
      <c r="A6" s="17" t="s">
        <v>221</v>
      </c>
      <c r="B6" s="18"/>
      <c r="C6" s="8"/>
      <c r="D6" s="9"/>
      <c r="E6" s="17" t="s">
        <v>222</v>
      </c>
      <c r="F6" s="9"/>
      <c r="G6" s="19"/>
      <c r="H6" s="9"/>
      <c r="J6" s="20" t="s">
        <v>223</v>
      </c>
    </row>
    <row r="7" ht="36" customHeight="1" spans="1:10">
      <c r="A7" s="17" t="s">
        <v>224</v>
      </c>
      <c r="B7" s="18"/>
      <c r="C7" s="8"/>
      <c r="D7" s="8"/>
      <c r="E7" s="8"/>
      <c r="F7" s="8"/>
      <c r="G7" s="8"/>
      <c r="H7" s="9"/>
      <c r="I7" s="21"/>
      <c r="J7" s="21"/>
    </row>
    <row r="8" ht="24" customHeight="1" spans="1:10">
      <c r="A8" s="16" t="s">
        <v>225</v>
      </c>
      <c r="B8" s="8"/>
      <c r="C8" s="8"/>
      <c r="D8" s="8"/>
      <c r="E8" s="8"/>
      <c r="F8" s="8"/>
      <c r="G8" s="8"/>
      <c r="H8" s="9"/>
      <c r="I8" s="21"/>
      <c r="J8" s="21"/>
    </row>
    <row r="9" ht="36" customHeight="1" spans="1:10">
      <c r="A9" s="22" t="s">
        <v>220</v>
      </c>
      <c r="B9" s="23"/>
      <c r="C9" s="8"/>
      <c r="D9" s="9"/>
      <c r="E9" s="22" t="s">
        <v>226</v>
      </c>
      <c r="F9" s="9"/>
      <c r="G9" s="24"/>
      <c r="H9" s="25"/>
      <c r="I9" s="21"/>
      <c r="J9" s="21"/>
    </row>
    <row r="10" ht="30.75" customHeight="1" spans="1:10">
      <c r="A10" s="22" t="s">
        <v>227</v>
      </c>
      <c r="B10" s="26" t="s">
        <v>228</v>
      </c>
      <c r="C10" s="8"/>
      <c r="D10" s="9"/>
      <c r="E10" s="27" t="s">
        <v>229</v>
      </c>
      <c r="F10" s="9"/>
      <c r="G10" s="28"/>
      <c r="H10" s="9"/>
      <c r="I10" s="21"/>
      <c r="J10" s="21"/>
    </row>
    <row r="11" ht="32.25" customHeight="1" spans="1:10">
      <c r="A11" s="22" t="s">
        <v>230</v>
      </c>
      <c r="B11" s="26" t="s">
        <v>231</v>
      </c>
      <c r="C11" s="8"/>
      <c r="D11" s="9"/>
      <c r="E11" s="22" t="s">
        <v>232</v>
      </c>
      <c r="F11" s="9"/>
      <c r="G11" s="28" t="s">
        <v>233</v>
      </c>
      <c r="H11" s="9"/>
      <c r="I11" s="21"/>
      <c r="J11" s="21"/>
    </row>
    <row r="12" ht="32.25" customHeight="1" spans="1:10">
      <c r="A12" s="22" t="s">
        <v>234</v>
      </c>
      <c r="B12" s="26" t="s">
        <v>235</v>
      </c>
      <c r="C12" s="8"/>
      <c r="D12" s="9"/>
      <c r="E12" s="29" t="s">
        <v>236</v>
      </c>
      <c r="F12" s="9"/>
      <c r="G12" s="28">
        <v>4059</v>
      </c>
      <c r="H12" s="9"/>
      <c r="I12" s="21"/>
      <c r="J12" s="21"/>
    </row>
    <row r="13" ht="36.75" customHeight="1" spans="1:10">
      <c r="A13" s="22" t="s">
        <v>237</v>
      </c>
      <c r="B13" s="30" t="s">
        <v>238</v>
      </c>
      <c r="C13" s="31"/>
      <c r="D13" s="31"/>
      <c r="E13" s="31"/>
      <c r="F13" s="31"/>
      <c r="G13" s="31"/>
      <c r="H13" s="32"/>
      <c r="I13" s="21"/>
      <c r="J13" s="21"/>
    </row>
    <row r="14" ht="36.75" customHeight="1" spans="1:10">
      <c r="A14" s="22" t="s">
        <v>239</v>
      </c>
      <c r="B14" s="26" t="s">
        <v>240</v>
      </c>
      <c r="C14" s="8"/>
      <c r="D14" s="8"/>
      <c r="E14" s="8"/>
      <c r="F14" s="8"/>
      <c r="G14" s="8"/>
      <c r="H14" s="9"/>
      <c r="I14" s="21"/>
      <c r="J14" s="21"/>
    </row>
    <row r="15" ht="37.5" customHeight="1" spans="1:10">
      <c r="A15" s="22" t="s">
        <v>241</v>
      </c>
      <c r="B15" s="33"/>
      <c r="C15" s="33"/>
      <c r="D15" s="33"/>
      <c r="E15" s="33"/>
      <c r="F15" s="33"/>
      <c r="G15" s="34"/>
      <c r="H15" s="35"/>
      <c r="I15" s="21"/>
      <c r="J15" s="21"/>
    </row>
    <row r="16" ht="37.5" customHeight="1" spans="1:10">
      <c r="A16" s="22" t="s">
        <v>242</v>
      </c>
      <c r="B16" s="33"/>
      <c r="C16" s="33"/>
      <c r="D16" s="33"/>
      <c r="E16" s="33"/>
      <c r="F16" s="33"/>
      <c r="G16" s="34"/>
      <c r="H16" s="35"/>
      <c r="I16" s="21"/>
      <c r="J16" s="21"/>
    </row>
    <row r="17" ht="37.5" customHeight="1" spans="1:10">
      <c r="A17" s="36" t="s">
        <v>243</v>
      </c>
      <c r="B17" s="36" t="s">
        <v>244</v>
      </c>
      <c r="C17" s="36" t="s">
        <v>245</v>
      </c>
      <c r="D17" s="36" t="s">
        <v>246</v>
      </c>
      <c r="E17" s="36" t="s">
        <v>247</v>
      </c>
      <c r="F17" s="36" t="s">
        <v>248</v>
      </c>
      <c r="G17" s="36" t="s">
        <v>249</v>
      </c>
      <c r="H17" s="37" t="s">
        <v>250</v>
      </c>
      <c r="I17" s="37" t="s">
        <v>251</v>
      </c>
      <c r="J17" s="21"/>
    </row>
    <row r="18" ht="61.05" customHeight="1" spans="1:10">
      <c r="A18" s="38"/>
      <c r="B18" s="39" t="s">
        <v>252</v>
      </c>
      <c r="C18" s="39" t="s">
        <v>104</v>
      </c>
      <c r="D18" s="39" t="s">
        <v>253</v>
      </c>
      <c r="E18" s="40" t="s">
        <v>254</v>
      </c>
      <c r="F18" s="41">
        <v>9031499000</v>
      </c>
      <c r="G18" s="40">
        <v>1</v>
      </c>
      <c r="H18" s="42">
        <v>999</v>
      </c>
      <c r="I18" s="42">
        <f>H18*G18</f>
        <v>999</v>
      </c>
      <c r="J18" s="21"/>
    </row>
    <row r="19" ht="27" customHeight="1" spans="1:10">
      <c r="A19" s="38" t="s">
        <v>255</v>
      </c>
      <c r="B19" s="43"/>
      <c r="C19" s="43"/>
      <c r="D19" s="43"/>
      <c r="E19" s="43"/>
      <c r="F19" s="43"/>
      <c r="G19" s="43"/>
      <c r="H19" s="25"/>
      <c r="I19" s="44"/>
      <c r="J19" s="21"/>
    </row>
    <row r="20" ht="27" customHeight="1" spans="1:10">
      <c r="A20" s="45" t="s">
        <v>256</v>
      </c>
      <c r="B20" s="43"/>
      <c r="C20" s="43"/>
      <c r="D20" s="43"/>
      <c r="E20" s="43"/>
      <c r="F20" s="43"/>
      <c r="G20" s="43"/>
      <c r="H20" s="25"/>
      <c r="I20" s="44">
        <f>I18</f>
        <v>999</v>
      </c>
      <c r="J20" s="21"/>
    </row>
    <row r="21" ht="27" customHeight="1" spans="1:10">
      <c r="A21" s="46" t="s">
        <v>257</v>
      </c>
      <c r="B21" s="47"/>
      <c r="C21" s="47"/>
      <c r="D21" s="47"/>
      <c r="E21" s="47"/>
      <c r="F21" s="47"/>
      <c r="G21" s="47"/>
      <c r="H21" s="48"/>
      <c r="I21" s="49"/>
      <c r="J21" s="21"/>
    </row>
    <row r="22" ht="27" customHeight="1" spans="1:10">
      <c r="A22" s="16" t="s">
        <v>258</v>
      </c>
      <c r="B22" s="8"/>
      <c r="C22" s="8"/>
      <c r="D22" s="8"/>
      <c r="E22" s="8"/>
      <c r="F22" s="8"/>
      <c r="G22" s="8"/>
      <c r="H22" s="8"/>
      <c r="I22" s="9"/>
      <c r="J22" s="21"/>
    </row>
    <row r="24" ht="19.95" customHeight="1" spans="1:10">
      <c r="A24" s="50"/>
    </row>
    <row r="27" spans="1:10">
      <c r="C27" s="1" t="s">
        <v>159</v>
      </c>
    </row>
  </sheetData>
  <mergeCells count="34">
    <mergeCell ref="A1:H1"/>
    <mergeCell ref="B2:D2"/>
    <mergeCell ref="E2:F2"/>
    <mergeCell ref="G2:H2"/>
    <mergeCell ref="B3:D3"/>
    <mergeCell ref="E3:F3"/>
    <mergeCell ref="G3:H3"/>
    <mergeCell ref="A4:H4"/>
    <mergeCell ref="B5:H5"/>
    <mergeCell ref="B6:D6"/>
    <mergeCell ref="E6:F6"/>
    <mergeCell ref="G6:H6"/>
    <mergeCell ref="B7:H7"/>
    <mergeCell ref="A8:H8"/>
    <mergeCell ref="B9:D9"/>
    <mergeCell ref="E9:F9"/>
    <mergeCell ref="G9:H9"/>
    <mergeCell ref="B10:D10"/>
    <mergeCell ref="E10:F10"/>
    <mergeCell ref="G10:H10"/>
    <mergeCell ref="B11:D11"/>
    <mergeCell ref="E11:F11"/>
    <mergeCell ref="G11:H11"/>
    <mergeCell ref="B12:D12"/>
    <mergeCell ref="E12:F12"/>
    <mergeCell ref="G12:H12"/>
    <mergeCell ref="B13:H13"/>
    <mergeCell ref="B14:H14"/>
    <mergeCell ref="A19:H19"/>
    <mergeCell ref="A20:H20"/>
    <mergeCell ref="A21:H21"/>
    <mergeCell ref="A22:I22"/>
    <mergeCell ref="I1:I5"/>
    <mergeCell ref="J1:J5"/>
  </mergeCells>
  <dataValidations count="1">
    <dataValidation allowBlank="1" showInputMessage="1" showErrorMessage="1" sqref="B18"/>
  </dataValidations>
  <hyperlinks>
    <hyperlink ref="B13" r:id="rId3" display="tobias.fischer@qut.edu.au"/>
  </hyperlinks>
  <pageMargins left="0.275" right="0.236111111111111" top="0.66875" bottom="1" header="0.5" footer="0.5"/>
  <pageSetup paperSize="9" scale="56" orientation="portrait"/>
  <headerFooter/>
  <legacyDrawing r:id="rId2"/>
</worksheet>
</file>

<file path=xl/worksheets/sheet7.xml><?xml version="1.0" encoding="utf-8"?>
<worksheet xmlns="http://schemas.openxmlformats.org/spreadsheetml/2006/main" xmlns:r="http://schemas.openxmlformats.org/officeDocument/2006/relationships">
  <dimension ref="A1:I5"/>
  <sheetData>
    <row r="1">
      <c r="A1" t="str">
        <v>HS编码</v>
      </c>
      <c r="B1" t="str">
        <v>ERP商品编码</v>
      </c>
      <c r="C1" t="str">
        <v>品名(中)</v>
      </c>
      <c r="D1" t="str">
        <v>品牌</v>
      </c>
      <c r="E1" t="str">
        <v>型号(规格)</v>
      </c>
      <c r="F1" t="str">
        <v>单位</v>
      </c>
      <c r="G1" t="str">
        <v>单价USD</v>
      </c>
      <c r="H1" t="str">
        <v>单件毛重KG</v>
      </c>
      <c r="I1" t="str">
        <v>单件净重KG</v>
      </c>
    </row>
    <row r="2">
      <c r="A2" t="str">
        <v>9031499000</v>
      </c>
      <c r="B2" t="str">
        <v>TJ00033</v>
      </c>
      <c r="C2" t="str">
        <v>空间记忆模组</v>
      </c>
      <c r="D2" t="str">
        <v>留形</v>
      </c>
      <c r="E2" t="str">
        <v>Odin1</v>
      </c>
      <c r="F2" t="str">
        <v>套</v>
      </c>
      <c r="G2" t="str">
        <v>564.44</v>
      </c>
      <c r="H2" t="str">
        <v>0</v>
      </c>
      <c r="I2" t="str">
        <v>0</v>
      </c>
    </row>
    <row r="3">
      <c r="B3" t="str">
        <v>TJ00004</v>
      </c>
      <c r="C3" t="str">
        <v>三维激光扫描仪</v>
      </c>
      <c r="F3" t="str">
        <v>套</v>
      </c>
      <c r="G3" t="str">
        <v>1898.99</v>
      </c>
      <c r="H3" t="str">
        <v>0</v>
      </c>
      <c r="I3" t="str">
        <v>0</v>
      </c>
    </row>
    <row r="4">
      <c r="B4" t="str">
        <v>CP00020</v>
      </c>
      <c r="C4" t="str">
        <v>细目相机模块</v>
      </c>
      <c r="F4" t="str">
        <v>个</v>
      </c>
      <c r="G4" t="str">
        <v>95.0</v>
      </c>
      <c r="H4" t="str">
        <v>0</v>
      </c>
      <c r="I4" t="str">
        <v>0</v>
      </c>
    </row>
    <row r="5">
      <c r="B5" t="str">
        <v>ZCP00017</v>
      </c>
      <c r="C5" t="str">
        <v>新款P2 Pro RTK模块</v>
      </c>
      <c r="F5" t="str">
        <v>PCS</v>
      </c>
      <c r="G5" t="str">
        <v>147.79</v>
      </c>
      <c r="H5" t="str">
        <v>0</v>
      </c>
      <c r="I5" t="str">
        <v>0</v>
      </c>
    </row>
  </sheetData>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6</vt:i4>
      </vt:variant>
    </vt:vector>
  </HeadingPairs>
  <TitlesOfParts>
    <vt:vector size="6" baseType="lpstr">
      <vt:lpstr>报关单</vt:lpstr>
      <vt:lpstr>申报要素</vt:lpstr>
      <vt:lpstr>发票</vt:lpstr>
      <vt:lpstr>箱单</vt:lpstr>
      <vt:lpstr>合同</vt:lpstr>
      <vt:lpstr>不报关填写快递  B19发票</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vigor995</cp:lastModifiedBy>
  <dcterms:created xsi:type="dcterms:W3CDTF">2018-07-04T02:44:00Z</dcterms:created>
  <dcterms:modified xsi:type="dcterms:W3CDTF">2026-10-29T02:19:50Z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2052-12.1.0.29158</vt:lpwstr>
  </property>
  <property fmtid="{D5CDD505-2E9C-101B-9397-08002B2CF9AE}" pid="3" name="ICV">
    <vt:lpwstr>B4BAF223084E4936BB9260AE5B433ADF_13</vt:lpwstr>
  </property>
  <property fmtid="{D5CDD505-2E9C-101B-9397-08002B2CF9AE}" pid="4" name="CalculationRule">
    <vt:i4>0</vt:i4>
  </property>
</Properties>
</file>